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 ph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7A3E2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shopify.com/store/bhoomija-2/products/8496633708591" TargetMode="External" Id="rId1"/><Relationship Type="http://schemas.openxmlformats.org/officeDocument/2006/relationships/hyperlink" Target="https://admin.shopify.com/store/bhoomija-2/products/8496641867823" TargetMode="External" Id="rId2"/><Relationship Type="http://schemas.openxmlformats.org/officeDocument/2006/relationships/hyperlink" Target="https://admin.shopify.com/store/bhoomija-2/products/8496641900591" TargetMode="External" Id="rId3"/><Relationship Type="http://schemas.openxmlformats.org/officeDocument/2006/relationships/hyperlink" Target="https://admin.shopify.com/store/bhoomija-2/products/8496656220207" TargetMode="External" Id="rId4"/><Relationship Type="http://schemas.openxmlformats.org/officeDocument/2006/relationships/hyperlink" Target="https://admin.shopify.com/store/bhoomija-2/products/8496639639599" TargetMode="External" Id="rId5"/><Relationship Type="http://schemas.openxmlformats.org/officeDocument/2006/relationships/hyperlink" Target="https://admin.shopify.com/store/bhoomija-2/products/8496639672367" TargetMode="External" Id="rId6"/><Relationship Type="http://schemas.openxmlformats.org/officeDocument/2006/relationships/hyperlink" Target="https://admin.shopify.com/store/bhoomija-2/products/8496640098351" TargetMode="External" Id="rId7"/><Relationship Type="http://schemas.openxmlformats.org/officeDocument/2006/relationships/hyperlink" Target="https://admin.shopify.com/store/bhoomija-2/products/8496639639599" TargetMode="External" Id="rId8"/><Relationship Type="http://schemas.openxmlformats.org/officeDocument/2006/relationships/hyperlink" Target="https://admin.shopify.com/store/bhoomija-2/products/8496639672367" TargetMode="External" Id="rId9"/><Relationship Type="http://schemas.openxmlformats.org/officeDocument/2006/relationships/hyperlink" Target="https://admin.shopify.com/store/bhoomija-2/products/8496640098351" TargetMode="External" Id="rId10"/><Relationship Type="http://schemas.openxmlformats.org/officeDocument/2006/relationships/hyperlink" Target="https://admin.shopify.com/store/bhoomija-2/products/8496643375151" TargetMode="External" Id="rId11"/><Relationship Type="http://schemas.openxmlformats.org/officeDocument/2006/relationships/hyperlink" Target="https://admin.shopify.com/store/bhoomija-2/products/8496642129967" TargetMode="External" Id="rId12"/><Relationship Type="http://schemas.openxmlformats.org/officeDocument/2006/relationships/hyperlink" Target="https://admin.shopify.com/store/bhoomija-2/products/8496656056367" TargetMode="External" Id="rId13"/><Relationship Type="http://schemas.openxmlformats.org/officeDocument/2006/relationships/hyperlink" Target="https://admin.shopify.com/store/bhoomija-2/products/8496660054063" TargetMode="External" Id="rId14"/><Relationship Type="http://schemas.openxmlformats.org/officeDocument/2006/relationships/hyperlink" Target="https://admin.shopify.com/store/bhoomija-2/products/8496643375151" TargetMode="External" Id="rId15"/><Relationship Type="http://schemas.openxmlformats.org/officeDocument/2006/relationships/hyperlink" Target="https://admin.shopify.com/store/bhoomija-2/products/8496656056367" TargetMode="External" Id="rId16"/><Relationship Type="http://schemas.openxmlformats.org/officeDocument/2006/relationships/hyperlink" Target="https://admin.shopify.com/store/bhoomija-2/products/8496641245231" TargetMode="External" Id="rId17"/><Relationship Type="http://schemas.openxmlformats.org/officeDocument/2006/relationships/hyperlink" Target="https://admin.shopify.com/store/bhoomija-2/products/8496660054063" TargetMode="External" Id="rId18"/><Relationship Type="http://schemas.openxmlformats.org/officeDocument/2006/relationships/hyperlink" Target="https://admin.shopify.com/store/bhoomija-2/products/8496643506223" TargetMode="External" Id="rId19"/><Relationship Type="http://schemas.openxmlformats.org/officeDocument/2006/relationships/hyperlink" Target="https://admin.shopify.com/store/bhoomija-2/products/8496645865519" TargetMode="External" Id="rId20"/><Relationship Type="http://schemas.openxmlformats.org/officeDocument/2006/relationships/hyperlink" Target="https://admin.shopify.com/store/bhoomija-2/products/8496647405615" TargetMode="External" Id="rId21"/><Relationship Type="http://schemas.openxmlformats.org/officeDocument/2006/relationships/hyperlink" Target="https://admin.shopify.com/store/bhoomija-2/products/8496647471151" TargetMode="External" Id="rId22"/><Relationship Type="http://schemas.openxmlformats.org/officeDocument/2006/relationships/hyperlink" Target="https://admin.shopify.com/store/bhoomija-2/products/8496643571759" TargetMode="External" Id="rId23"/><Relationship Type="http://schemas.openxmlformats.org/officeDocument/2006/relationships/hyperlink" Target="https://admin.shopify.com/store/bhoomija-2/products/8496643637295" TargetMode="External" Id="rId24"/><Relationship Type="http://schemas.openxmlformats.org/officeDocument/2006/relationships/hyperlink" Target="https://admin.shopify.com/store/bhoomija-2/products/8496653140015" TargetMode="External" Id="rId25"/><Relationship Type="http://schemas.openxmlformats.org/officeDocument/2006/relationships/hyperlink" Target="https://admin.shopify.com/store/bhoomija-2/products/8496660316207" TargetMode="External" Id="rId26"/><Relationship Type="http://schemas.openxmlformats.org/officeDocument/2006/relationships/hyperlink" Target="https://admin.shopify.com/store/bhoomija-2/products/8496640917551" TargetMode="External" Id="rId27"/><Relationship Type="http://schemas.openxmlformats.org/officeDocument/2006/relationships/hyperlink" Target="https://admin.shopify.com/store/bhoomija-2/products/8496643670063" TargetMode="External" Id="rId28"/><Relationship Type="http://schemas.openxmlformats.org/officeDocument/2006/relationships/hyperlink" Target="https://admin.shopify.com/store/bhoomija-2/products/8496654975023" TargetMode="External" Id="rId29"/><Relationship Type="http://schemas.openxmlformats.org/officeDocument/2006/relationships/hyperlink" Target="https://admin.shopify.com/store/bhoomija-2/products/8496637739055" TargetMode="External" Id="rId30"/><Relationship Type="http://schemas.openxmlformats.org/officeDocument/2006/relationships/hyperlink" Target="https://admin.shopify.com/store/bhoomija-2/products/8496643702831" TargetMode="External" Id="rId31"/><Relationship Type="http://schemas.openxmlformats.org/officeDocument/2006/relationships/hyperlink" Target="https://admin.shopify.com/store/bhoomija-2/products/8496660512815" TargetMode="External" Id="rId32"/><Relationship Type="http://schemas.openxmlformats.org/officeDocument/2006/relationships/hyperlink" Target="https://admin.shopify.com/store/bhoomija-2/products/8496660545583" TargetMode="External" Id="rId33"/><Relationship Type="http://schemas.openxmlformats.org/officeDocument/2006/relationships/hyperlink" Target="https://admin.shopify.com/store/bhoomija-2/products/8496641245231" TargetMode="External" Id="rId34"/><Relationship Type="http://schemas.openxmlformats.org/officeDocument/2006/relationships/hyperlink" Target="https://admin.shopify.com/store/bhoomija-2/products/8496643735599" TargetMode="External" Id="rId35"/><Relationship Type="http://schemas.openxmlformats.org/officeDocument/2006/relationships/hyperlink" Target="https://admin.shopify.com/store/bhoomija-2/products/8496644063279" TargetMode="External" Id="rId36"/><Relationship Type="http://schemas.openxmlformats.org/officeDocument/2006/relationships/hyperlink" Target="https://admin.shopify.com/store/bhoomija-2/products/8496644128815" TargetMode="External" Id="rId37"/><Relationship Type="http://schemas.openxmlformats.org/officeDocument/2006/relationships/hyperlink" Target="https://admin.shopify.com/store/bhoomija-2/products/8496644063279" TargetMode="External" Id="rId38"/><Relationship Type="http://schemas.openxmlformats.org/officeDocument/2006/relationships/hyperlink" Target="https://admin.shopify.com/store/bhoomija-2/products/8496644128815" TargetMode="External" Id="rId39"/><Relationship Type="http://schemas.openxmlformats.org/officeDocument/2006/relationships/hyperlink" Target="https://admin.shopify.com/store/bhoomija-2/products/8496643735599" TargetMode="External" Id="rId40"/><Relationship Type="http://schemas.openxmlformats.org/officeDocument/2006/relationships/hyperlink" Target="https://admin.shopify.com/store/bhoomija-2/products/8496644063279" TargetMode="External" Id="rId41"/><Relationship Type="http://schemas.openxmlformats.org/officeDocument/2006/relationships/hyperlink" Target="https://admin.shopify.com/store/bhoomija-2/products/8496644128815" TargetMode="External" Id="rId42"/><Relationship Type="http://schemas.openxmlformats.org/officeDocument/2006/relationships/hyperlink" Target="https://admin.shopify.com/store/bhoomija-2/products/8496643735599" TargetMode="External" Id="rId43"/><Relationship Type="http://schemas.openxmlformats.org/officeDocument/2006/relationships/hyperlink" Target="https://admin.shopify.com/store/bhoomija-2/products/8496643571759" TargetMode="External" Id="rId44"/><Relationship Type="http://schemas.openxmlformats.org/officeDocument/2006/relationships/hyperlink" Target="https://admin.shopify.com/store/bhoomija-2/products/8496643637295" TargetMode="External" Id="rId45"/><Relationship Type="http://schemas.openxmlformats.org/officeDocument/2006/relationships/hyperlink" Target="https://admin.shopify.com/store/bhoomija-2/products/8496653140015" TargetMode="External" Id="rId46"/><Relationship Type="http://schemas.openxmlformats.org/officeDocument/2006/relationships/hyperlink" Target="https://admin.shopify.com/store/bhoomija-2/products/8496647012399" TargetMode="External" Id="rId47"/><Relationship Type="http://schemas.openxmlformats.org/officeDocument/2006/relationships/hyperlink" Target="https://admin.shopify.com/store/bhoomija-2/products/8496645701679" TargetMode="External" Id="rId48"/><Relationship Type="http://schemas.openxmlformats.org/officeDocument/2006/relationships/hyperlink" Target="https://admin.shopify.com/store/bhoomija-2/products/8496645799983" TargetMode="External" Id="rId49"/><Relationship Type="http://schemas.openxmlformats.org/officeDocument/2006/relationships/hyperlink" Target="https://admin.shopify.com/store/bhoomija-2/products/8496639148079" TargetMode="External" Id="rId50"/><Relationship Type="http://schemas.openxmlformats.org/officeDocument/2006/relationships/hyperlink" Target="https://admin.shopify.com/store/bhoomija-2/products/8496639246383" TargetMode="External" Id="rId51"/><Relationship Type="http://schemas.openxmlformats.org/officeDocument/2006/relationships/hyperlink" Target="https://admin.shopify.com/store/bhoomija-2/products/8496645701679" TargetMode="External" Id="rId52"/><Relationship Type="http://schemas.openxmlformats.org/officeDocument/2006/relationships/hyperlink" Target="https://admin.shopify.com/store/bhoomija-2/products/8496645799983" TargetMode="External" Id="rId53"/><Relationship Type="http://schemas.openxmlformats.org/officeDocument/2006/relationships/hyperlink" Target="https://admin.shopify.com/store/bhoomija-2/products/8496639148079" TargetMode="External" Id="rId54"/><Relationship Type="http://schemas.openxmlformats.org/officeDocument/2006/relationships/hyperlink" Target="https://admin.shopify.com/store/bhoomija-2/products/8496639246383" TargetMode="External" Id="rId55"/><Relationship Type="http://schemas.openxmlformats.org/officeDocument/2006/relationships/hyperlink" Target="https://admin.shopify.com/store/bhoomija-2/products/8496645865519" TargetMode="External" Id="rId56"/><Relationship Type="http://schemas.openxmlformats.org/officeDocument/2006/relationships/hyperlink" Target="https://admin.shopify.com/store/bhoomija-2/products/8496647405615" TargetMode="External" Id="rId57"/><Relationship Type="http://schemas.openxmlformats.org/officeDocument/2006/relationships/hyperlink" Target="https://admin.shopify.com/store/bhoomija-2/products/8496647471151" TargetMode="External" Id="rId58"/><Relationship Type="http://schemas.openxmlformats.org/officeDocument/2006/relationships/hyperlink" Target="https://admin.shopify.com/store/bhoomija-2/products/8496647503919" TargetMode="External" Id="rId59"/><Relationship Type="http://schemas.openxmlformats.org/officeDocument/2006/relationships/hyperlink" Target="https://admin.shopify.com/store/bhoomija-2/products/8496645079087" TargetMode="External" Id="rId60"/><Relationship Type="http://schemas.openxmlformats.org/officeDocument/2006/relationships/hyperlink" Target="https://admin.shopify.com/store/bhoomija-2/products/8496649863215" TargetMode="External" Id="rId61"/><Relationship Type="http://schemas.openxmlformats.org/officeDocument/2006/relationships/hyperlink" Target="https://admin.shopify.com/store/bhoomija-2/products/8496649928751" TargetMode="External" Id="rId62"/><Relationship Type="http://schemas.openxmlformats.org/officeDocument/2006/relationships/hyperlink" Target="https://admin.shopify.com/store/bhoomija-2/products/8496649764911" TargetMode="External" Id="rId63"/><Relationship Type="http://schemas.openxmlformats.org/officeDocument/2006/relationships/hyperlink" Target="https://admin.shopify.com/store/bhoomija-2/products/8496646389807" TargetMode="External" Id="rId64"/><Relationship Type="http://schemas.openxmlformats.org/officeDocument/2006/relationships/hyperlink" Target="https://admin.shopify.com/store/bhoomija-2/products/8496646651951" TargetMode="External" Id="rId65"/><Relationship Type="http://schemas.openxmlformats.org/officeDocument/2006/relationships/hyperlink" Target="https://admin.shopify.com/store/bhoomija-2/products/8496637476911" TargetMode="External" Id="rId66"/><Relationship Type="http://schemas.openxmlformats.org/officeDocument/2006/relationships/hyperlink" Target="https://admin.shopify.com/store/bhoomija-2/products/8496656121903" TargetMode="External" Id="rId67"/><Relationship Type="http://schemas.openxmlformats.org/officeDocument/2006/relationships/hyperlink" Target="https://admin.shopify.com/store/bhoomija-2/products/8496648716335" TargetMode="External" Id="rId68"/><Relationship Type="http://schemas.openxmlformats.org/officeDocument/2006/relationships/hyperlink" Target="https://admin.shopify.com/store/bhoomija-2/products/8496646389807" TargetMode="External" Id="rId69"/><Relationship Type="http://schemas.openxmlformats.org/officeDocument/2006/relationships/hyperlink" Target="https://admin.shopify.com/store/bhoomija-2/products/8496646651951" TargetMode="External" Id="rId70"/><Relationship Type="http://schemas.openxmlformats.org/officeDocument/2006/relationships/hyperlink" Target="https://admin.shopify.com/store/bhoomija-2/products/8496637476911" TargetMode="External" Id="rId71"/><Relationship Type="http://schemas.openxmlformats.org/officeDocument/2006/relationships/hyperlink" Target="https://admin.shopify.com/store/bhoomija-2/products/8496649273391" TargetMode="External" Id="rId72"/><Relationship Type="http://schemas.openxmlformats.org/officeDocument/2006/relationships/hyperlink" Target="https://admin.shopify.com/store/bhoomija-2/products/8496651501615" TargetMode="External" Id="rId73"/><Relationship Type="http://schemas.openxmlformats.org/officeDocument/2006/relationships/hyperlink" Target="https://admin.shopify.com/store/bhoomija-2/products/8496651567151" TargetMode="External" Id="rId74"/><Relationship Type="http://schemas.openxmlformats.org/officeDocument/2006/relationships/hyperlink" Target="https://admin.shopify.com/store/bhoomija-2/products/8496651665455" TargetMode="External" Id="rId75"/><Relationship Type="http://schemas.openxmlformats.org/officeDocument/2006/relationships/hyperlink" Target="https://admin.shopify.com/store/bhoomija-2/products/8496649306159" TargetMode="External" Id="rId76"/><Relationship Type="http://schemas.openxmlformats.org/officeDocument/2006/relationships/hyperlink" Target="https://admin.shopify.com/store/bhoomija-2/products/8496655925295" TargetMode="External" Id="rId77"/><Relationship Type="http://schemas.openxmlformats.org/officeDocument/2006/relationships/hyperlink" Target="https://admin.shopify.com/store/bhoomija-2/products/8496649732143" TargetMode="External" Id="rId78"/><Relationship Type="http://schemas.openxmlformats.org/officeDocument/2006/relationships/hyperlink" Target="https://admin.shopify.com/store/bhoomija-2/products/8496640032815" TargetMode="External" Id="rId79"/><Relationship Type="http://schemas.openxmlformats.org/officeDocument/2006/relationships/hyperlink" Target="https://admin.shopify.com/store/bhoomija-2/products/8496649469999" TargetMode="External" Id="rId80"/><Relationship Type="http://schemas.openxmlformats.org/officeDocument/2006/relationships/hyperlink" Target="https://admin.shopify.com/store/bhoomija-2/products/8496652288047" TargetMode="External" Id="rId81"/><Relationship Type="http://schemas.openxmlformats.org/officeDocument/2006/relationships/hyperlink" Target="https://admin.shopify.com/store/bhoomija-2/products/8496661463087" TargetMode="External" Id="rId82"/><Relationship Type="http://schemas.openxmlformats.org/officeDocument/2006/relationships/hyperlink" Target="https://admin.shopify.com/store/bhoomija-2/products/8496661495855" TargetMode="External" Id="rId83"/><Relationship Type="http://schemas.openxmlformats.org/officeDocument/2006/relationships/hyperlink" Target="https://admin.shopify.com/store/bhoomija-2/products/8496649764911" TargetMode="External" Id="rId84"/><Relationship Type="http://schemas.openxmlformats.org/officeDocument/2006/relationships/hyperlink" Target="https://admin.shopify.com/store/bhoomija-2/products/8496649830447" TargetMode="External" Id="rId85"/><Relationship Type="http://schemas.openxmlformats.org/officeDocument/2006/relationships/hyperlink" Target="https://admin.shopify.com/store/bhoomija-2/products/8496649895983" TargetMode="External" Id="rId86"/><Relationship Type="http://schemas.openxmlformats.org/officeDocument/2006/relationships/hyperlink" Target="https://admin.shopify.com/store/bhoomija-2/products/8496649863215" TargetMode="External" Id="rId87"/><Relationship Type="http://schemas.openxmlformats.org/officeDocument/2006/relationships/hyperlink" Target="https://admin.shopify.com/store/bhoomija-2/products/8496649764911" TargetMode="External" Id="rId88"/><Relationship Type="http://schemas.openxmlformats.org/officeDocument/2006/relationships/hyperlink" Target="https://admin.shopify.com/store/bhoomija-2/products/8496649830447" TargetMode="External" Id="rId89"/><Relationship Type="http://schemas.openxmlformats.org/officeDocument/2006/relationships/hyperlink" Target="https://admin.shopify.com/store/bhoomija-2/products/8496649895983" TargetMode="External" Id="rId90"/><Relationship Type="http://schemas.openxmlformats.org/officeDocument/2006/relationships/hyperlink" Target="https://admin.shopify.com/store/bhoomija-2/products/8496649863215" TargetMode="External" Id="rId91"/><Relationship Type="http://schemas.openxmlformats.org/officeDocument/2006/relationships/hyperlink" Target="https://admin.shopify.com/store/bhoomija-2/products/8496649764911" TargetMode="External" Id="rId92"/><Relationship Type="http://schemas.openxmlformats.org/officeDocument/2006/relationships/hyperlink" Target="https://admin.shopify.com/store/bhoomija-2/products/8496649830447" TargetMode="External" Id="rId93"/><Relationship Type="http://schemas.openxmlformats.org/officeDocument/2006/relationships/hyperlink" Target="https://admin.shopify.com/store/bhoomija-2/products/8496649895983" TargetMode="External" Id="rId94"/><Relationship Type="http://schemas.openxmlformats.org/officeDocument/2006/relationships/hyperlink" Target="https://admin.shopify.com/store/bhoomija-2/products/8496649863215" TargetMode="External" Id="rId95"/><Relationship Type="http://schemas.openxmlformats.org/officeDocument/2006/relationships/hyperlink" Target="https://admin.shopify.com/store/bhoomija-2/products/8496649764911" TargetMode="External" Id="rId96"/><Relationship Type="http://schemas.openxmlformats.org/officeDocument/2006/relationships/hyperlink" Target="https://admin.shopify.com/store/bhoomija-2/products/8496649830447" TargetMode="External" Id="rId97"/><Relationship Type="http://schemas.openxmlformats.org/officeDocument/2006/relationships/hyperlink" Target="https://admin.shopify.com/store/bhoomija-2/products/8496649895983" TargetMode="External" Id="rId98"/><Relationship Type="http://schemas.openxmlformats.org/officeDocument/2006/relationships/hyperlink" Target="https://admin.shopify.com/store/bhoomija-2/products/8496649863215" TargetMode="External" Id="rId99"/><Relationship Type="http://schemas.openxmlformats.org/officeDocument/2006/relationships/hyperlink" Target="https://admin.shopify.com/store/bhoomija-2/products/8496649764911" TargetMode="External" Id="rId100"/><Relationship Type="http://schemas.openxmlformats.org/officeDocument/2006/relationships/hyperlink" Target="https://admin.shopify.com/store/bhoomija-2/products/8496649830447" TargetMode="External" Id="rId101"/><Relationship Type="http://schemas.openxmlformats.org/officeDocument/2006/relationships/hyperlink" Target="https://admin.shopify.com/store/bhoomija-2/products/8496649895983" TargetMode="External" Id="rId102"/><Relationship Type="http://schemas.openxmlformats.org/officeDocument/2006/relationships/hyperlink" Target="https://admin.shopify.com/store/bhoomija-2/products/8496649863215" TargetMode="External" Id="rId103"/><Relationship Type="http://schemas.openxmlformats.org/officeDocument/2006/relationships/hyperlink" Target="https://admin.shopify.com/store/bhoomija-2/products/8496640917551" TargetMode="External" Id="rId104"/><Relationship Type="http://schemas.openxmlformats.org/officeDocument/2006/relationships/hyperlink" Target="https://admin.shopify.com/store/bhoomija-2/products/8496654975023" TargetMode="External" Id="rId105"/><Relationship Type="http://schemas.openxmlformats.org/officeDocument/2006/relationships/hyperlink" Target="https://admin.shopify.com/store/bhoomija-2/products/8496649994287" TargetMode="External" Id="rId106"/><Relationship Type="http://schemas.openxmlformats.org/officeDocument/2006/relationships/hyperlink" Target="https://admin.shopify.com/store/bhoomija-2/products/8496653402159" TargetMode="External" Id="rId107"/><Relationship Type="http://schemas.openxmlformats.org/officeDocument/2006/relationships/hyperlink" Target="https://admin.shopify.com/store/bhoomija-2/products/8496650059823" TargetMode="External" Id="rId108"/><Relationship Type="http://schemas.openxmlformats.org/officeDocument/2006/relationships/hyperlink" Target="https://admin.shopify.com/store/bhoomija-2/products/8496650846255" TargetMode="External" Id="rId109"/><Relationship Type="http://schemas.openxmlformats.org/officeDocument/2006/relationships/hyperlink" Target="https://admin.shopify.com/store/bhoomija-2/products/8496650944559" TargetMode="External" Id="rId110"/><Relationship Type="http://schemas.openxmlformats.org/officeDocument/2006/relationships/hyperlink" Target="https://admin.shopify.com/store/bhoomija-2/products/8496643506223" TargetMode="External" Id="rId111"/><Relationship Type="http://schemas.openxmlformats.org/officeDocument/2006/relationships/hyperlink" Target="https://admin.shopify.com/store/bhoomija-2/products/8496650059823" TargetMode="External" Id="rId112"/><Relationship Type="http://schemas.openxmlformats.org/officeDocument/2006/relationships/hyperlink" Target="https://admin.shopify.com/store/bhoomija-2/products/8496650846255" TargetMode="External" Id="rId113"/><Relationship Type="http://schemas.openxmlformats.org/officeDocument/2006/relationships/hyperlink" Target="https://admin.shopify.com/store/bhoomija-2/products/8496650944559" TargetMode="External" Id="rId114"/><Relationship Type="http://schemas.openxmlformats.org/officeDocument/2006/relationships/hyperlink" Target="https://admin.shopify.com/store/bhoomija-2/products/8496650092591" TargetMode="External" Id="rId115"/><Relationship Type="http://schemas.openxmlformats.org/officeDocument/2006/relationships/hyperlink" Target="https://admin.shopify.com/store/bhoomija-2/products/8496650190895" TargetMode="External" Id="rId116"/><Relationship Type="http://schemas.openxmlformats.org/officeDocument/2006/relationships/hyperlink" Target="https://admin.shopify.com/store/bhoomija-2/products/8496650354735" TargetMode="External" Id="rId117"/><Relationship Type="http://schemas.openxmlformats.org/officeDocument/2006/relationships/hyperlink" Target="https://admin.shopify.com/store/bhoomija-2/products/8496650453039" TargetMode="External" Id="rId118"/><Relationship Type="http://schemas.openxmlformats.org/officeDocument/2006/relationships/hyperlink" Target="https://admin.shopify.com/store/bhoomija-2/products/8496650518575" TargetMode="External" Id="rId119"/><Relationship Type="http://schemas.openxmlformats.org/officeDocument/2006/relationships/hyperlink" Target="https://admin.shopify.com/store/bhoomija-2/products/8496650190895" TargetMode="External" Id="rId120"/><Relationship Type="http://schemas.openxmlformats.org/officeDocument/2006/relationships/hyperlink" Target="https://admin.shopify.com/store/bhoomija-2/products/8496650354735" TargetMode="External" Id="rId121"/><Relationship Type="http://schemas.openxmlformats.org/officeDocument/2006/relationships/hyperlink" Target="https://admin.shopify.com/store/bhoomija-2/products/8496650453039" TargetMode="External" Id="rId122"/><Relationship Type="http://schemas.openxmlformats.org/officeDocument/2006/relationships/hyperlink" Target="https://admin.shopify.com/store/bhoomija-2/products/8496650518575" TargetMode="External" Id="rId123"/><Relationship Type="http://schemas.openxmlformats.org/officeDocument/2006/relationships/hyperlink" Target="https://admin.shopify.com/store/bhoomija-2/products/8496650059823" TargetMode="External" Id="rId124"/><Relationship Type="http://schemas.openxmlformats.org/officeDocument/2006/relationships/hyperlink" Target="https://admin.shopify.com/store/bhoomija-2/products/8496650846255" TargetMode="External" Id="rId125"/><Relationship Type="http://schemas.openxmlformats.org/officeDocument/2006/relationships/hyperlink" Target="https://admin.shopify.com/store/bhoomija-2/products/8496650092591" TargetMode="External" Id="rId126"/><Relationship Type="http://schemas.openxmlformats.org/officeDocument/2006/relationships/hyperlink" Target="https://admin.shopify.com/store/bhoomija-2/products/8496650944559" TargetMode="External" Id="rId127"/><Relationship Type="http://schemas.openxmlformats.org/officeDocument/2006/relationships/hyperlink" Target="https://admin.shopify.com/store/bhoomija-2/products/8496651010095" TargetMode="External" Id="rId128"/><Relationship Type="http://schemas.openxmlformats.org/officeDocument/2006/relationships/hyperlink" Target="https://admin.shopify.com/store/bhoomija-2/products/8496651075631" TargetMode="External" Id="rId129"/><Relationship Type="http://schemas.openxmlformats.org/officeDocument/2006/relationships/hyperlink" Target="https://admin.shopify.com/store/bhoomija-2/products/8496650977327" TargetMode="External" Id="rId130"/><Relationship Type="http://schemas.openxmlformats.org/officeDocument/2006/relationships/hyperlink" Target="https://admin.shopify.com/store/bhoomija-2/products/8496637345839" TargetMode="External" Id="rId131"/><Relationship Type="http://schemas.openxmlformats.org/officeDocument/2006/relationships/hyperlink" Target="https://admin.shopify.com/store/bhoomija-2/products/8496655466543" TargetMode="External" Id="rId132"/><Relationship Type="http://schemas.openxmlformats.org/officeDocument/2006/relationships/hyperlink" Target="https://admin.shopify.com/store/bhoomija-2/products/8496655532079" TargetMode="External" Id="rId133"/><Relationship Type="http://schemas.openxmlformats.org/officeDocument/2006/relationships/hyperlink" Target="https://admin.shopify.com/store/bhoomija-2/products/8496659595311" TargetMode="External" Id="rId134"/><Relationship Type="http://schemas.openxmlformats.org/officeDocument/2006/relationships/hyperlink" Target="https://admin.shopify.com/store/bhoomija-2/products/8496655466543" TargetMode="External" Id="rId135"/><Relationship Type="http://schemas.openxmlformats.org/officeDocument/2006/relationships/hyperlink" Target="https://admin.shopify.com/store/bhoomija-2/products/8496655532079" TargetMode="External" Id="rId136"/><Relationship Type="http://schemas.openxmlformats.org/officeDocument/2006/relationships/hyperlink" Target="https://admin.shopify.com/store/bhoomija-2/products/8496659595311" TargetMode="External" Id="rId137"/><Relationship Type="http://schemas.openxmlformats.org/officeDocument/2006/relationships/hyperlink" Target="https://admin.shopify.com/store/bhoomija-2/products/8496659857455" TargetMode="External" Id="rId138"/><Relationship Type="http://schemas.openxmlformats.org/officeDocument/2006/relationships/hyperlink" Target="https://admin.shopify.com/store/bhoomija-2/products/8496659890223" TargetMode="External" Id="rId139"/><Relationship Type="http://schemas.openxmlformats.org/officeDocument/2006/relationships/hyperlink" Target="https://admin.shopify.com/store/bhoomija-2/products/8496659922991" TargetMode="External" Id="rId140"/><Relationship Type="http://schemas.openxmlformats.org/officeDocument/2006/relationships/hyperlink" Target="https://admin.shopify.com/store/bhoomija-2/products/8496642883631" TargetMode="External" Id="rId141"/><Relationship Type="http://schemas.openxmlformats.org/officeDocument/2006/relationships/hyperlink" Target="https://admin.shopify.com/store/bhoomija-2/products/8496659857455" TargetMode="External" Id="rId142"/><Relationship Type="http://schemas.openxmlformats.org/officeDocument/2006/relationships/hyperlink" Target="https://admin.shopify.com/store/bhoomija-2/products/8496659890223" TargetMode="External" Id="rId143"/><Relationship Type="http://schemas.openxmlformats.org/officeDocument/2006/relationships/hyperlink" Target="https://admin.shopify.com/store/bhoomija-2/products/8496659922991" TargetMode="External" Id="rId144"/><Relationship Type="http://schemas.openxmlformats.org/officeDocument/2006/relationships/hyperlink" Target="https://admin.shopify.com/store/bhoomija-2/products/8496642883631" TargetMode="External" Id="rId145"/><Relationship Type="http://schemas.openxmlformats.org/officeDocument/2006/relationships/hyperlink" Target="https://admin.shopify.com/store/bhoomija-2/products/8496659857455" TargetMode="External" Id="rId146"/><Relationship Type="http://schemas.openxmlformats.org/officeDocument/2006/relationships/hyperlink" Target="https://admin.shopify.com/store/bhoomija-2/products/8496659890223" TargetMode="External" Id="rId147"/><Relationship Type="http://schemas.openxmlformats.org/officeDocument/2006/relationships/hyperlink" Target="https://admin.shopify.com/store/bhoomija-2/products/8496659922991" TargetMode="External" Id="rId148"/><Relationship Type="http://schemas.openxmlformats.org/officeDocument/2006/relationships/hyperlink" Target="https://admin.shopify.com/store/bhoomija-2/products/8496649699375" TargetMode="External" Id="rId149"/><Relationship Type="http://schemas.openxmlformats.org/officeDocument/2006/relationships/hyperlink" Target="https://admin.shopify.com/store/bhoomija-2/products/8496659955759" TargetMode="External" Id="rId150"/><Relationship Type="http://schemas.openxmlformats.org/officeDocument/2006/relationships/hyperlink" Target="https://admin.shopify.com/store/bhoomija-2/products/8496659988527" TargetMode="External" Id="rId151"/><Relationship Type="http://schemas.openxmlformats.org/officeDocument/2006/relationships/hyperlink" Target="https://admin.shopify.com/store/bhoomija-2/products/8496660021295" TargetMode="External" Id="rId152"/><Relationship Type="http://schemas.openxmlformats.org/officeDocument/2006/relationships/hyperlink" Target="https://admin.shopify.com/store/bhoomija-2/products/8496659628079" TargetMode="External" Id="rId153"/><Relationship Type="http://schemas.openxmlformats.org/officeDocument/2006/relationships/hyperlink" Target="https://admin.shopify.com/store/bhoomija-2/products/8496659955759" TargetMode="External" Id="rId154"/><Relationship Type="http://schemas.openxmlformats.org/officeDocument/2006/relationships/hyperlink" Target="https://admin.shopify.com/store/bhoomija-2/products/8496659988527" TargetMode="External" Id="rId155"/><Relationship Type="http://schemas.openxmlformats.org/officeDocument/2006/relationships/hyperlink" Target="https://admin.shopify.com/store/bhoomija-2/products/8496660021295" TargetMode="External" Id="rId156"/><Relationship Type="http://schemas.openxmlformats.org/officeDocument/2006/relationships/hyperlink" Target="https://admin.shopify.com/store/bhoomija-2/products/8496659628079" TargetMode="External" Id="rId157"/><Relationship Type="http://schemas.openxmlformats.org/officeDocument/2006/relationships/hyperlink" Target="https://admin.shopify.com/store/bhoomija-2/products/8496659955759" TargetMode="External" Id="rId158"/><Relationship Type="http://schemas.openxmlformats.org/officeDocument/2006/relationships/hyperlink" Target="https://admin.shopify.com/store/bhoomija-2/products/8496659988527" TargetMode="External" Id="rId159"/><Relationship Type="http://schemas.openxmlformats.org/officeDocument/2006/relationships/hyperlink" Target="https://admin.shopify.com/store/bhoomija-2/products/8496660021295" TargetMode="External" Id="rId160"/><Relationship Type="http://schemas.openxmlformats.org/officeDocument/2006/relationships/hyperlink" Target="https://admin.shopify.com/store/bhoomija-2/products/8496659628079" TargetMode="External" Id="rId161"/><Relationship Type="http://schemas.openxmlformats.org/officeDocument/2006/relationships/hyperlink" Target="https://admin.shopify.com/store/bhoomija-2/products/8496660054063" TargetMode="External" Id="rId162"/><Relationship Type="http://schemas.openxmlformats.org/officeDocument/2006/relationships/hyperlink" Target="https://admin.shopify.com/store/bhoomija-2/products/8496660119599" TargetMode="External" Id="rId163"/><Relationship Type="http://schemas.openxmlformats.org/officeDocument/2006/relationships/hyperlink" Target="https://admin.shopify.com/store/bhoomija-2/products/8496660217903" TargetMode="External" Id="rId164"/><Relationship Type="http://schemas.openxmlformats.org/officeDocument/2006/relationships/hyperlink" Target="https://admin.shopify.com/store/bhoomija-2/products/8496660250671" TargetMode="External" Id="rId165"/><Relationship Type="http://schemas.openxmlformats.org/officeDocument/2006/relationships/hyperlink" Target="https://admin.shopify.com/store/bhoomija-2/products/8496660054063" TargetMode="External" Id="rId166"/><Relationship Type="http://schemas.openxmlformats.org/officeDocument/2006/relationships/hyperlink" Target="https://admin.shopify.com/store/bhoomija-2/products/8496660119599" TargetMode="External" Id="rId167"/><Relationship Type="http://schemas.openxmlformats.org/officeDocument/2006/relationships/hyperlink" Target="https://admin.shopify.com/store/bhoomija-2/products/8496660217903" TargetMode="External" Id="rId168"/><Relationship Type="http://schemas.openxmlformats.org/officeDocument/2006/relationships/hyperlink" Target="https://admin.shopify.com/store/bhoomija-2/products/8496660250671" TargetMode="External" Id="rId169"/><Relationship Type="http://schemas.openxmlformats.org/officeDocument/2006/relationships/hyperlink" Target="https://admin.shopify.com/store/bhoomija-2/products/8496656056367" TargetMode="External" Id="rId170"/><Relationship Type="http://schemas.openxmlformats.org/officeDocument/2006/relationships/hyperlink" Target="https://admin.shopify.com/store/bhoomija-2/products/8496660054063" TargetMode="External" Id="rId171"/><Relationship Type="http://schemas.openxmlformats.org/officeDocument/2006/relationships/hyperlink" Target="https://admin.shopify.com/store/bhoomija-2/products/8496660119599" TargetMode="External" Id="rId172"/><Relationship Type="http://schemas.openxmlformats.org/officeDocument/2006/relationships/hyperlink" Target="https://admin.shopify.com/store/bhoomija-2/products/8496660217903" TargetMode="External" Id="rId173"/><Relationship Type="http://schemas.openxmlformats.org/officeDocument/2006/relationships/hyperlink" Target="https://admin.shopify.com/store/bhoomija-2/products/8496660054063" TargetMode="External" Id="rId174"/><Relationship Type="http://schemas.openxmlformats.org/officeDocument/2006/relationships/hyperlink" Target="https://admin.shopify.com/store/bhoomija-2/products/8496660119599" TargetMode="External" Id="rId175"/><Relationship Type="http://schemas.openxmlformats.org/officeDocument/2006/relationships/hyperlink" Target="https://admin.shopify.com/store/bhoomija-2/products/8496660217903" TargetMode="External" Id="rId176"/><Relationship Type="http://schemas.openxmlformats.org/officeDocument/2006/relationships/hyperlink" Target="https://admin.shopify.com/store/bhoomija-2/products/8496660250671" TargetMode="External" Id="rId177"/><Relationship Type="http://schemas.openxmlformats.org/officeDocument/2006/relationships/hyperlink" Target="https://admin.shopify.com/store/bhoomija-2/products/8496660054063" TargetMode="External" Id="rId178"/><Relationship Type="http://schemas.openxmlformats.org/officeDocument/2006/relationships/hyperlink" Target="https://admin.shopify.com/store/bhoomija-2/products/8496660119599" TargetMode="External" Id="rId179"/><Relationship Type="http://schemas.openxmlformats.org/officeDocument/2006/relationships/hyperlink" Target="https://admin.shopify.com/store/bhoomija-2/products/8496660217903" TargetMode="External" Id="rId180"/><Relationship Type="http://schemas.openxmlformats.org/officeDocument/2006/relationships/hyperlink" Target="https://admin.shopify.com/store/bhoomija-2/products/8496660250671" TargetMode="External" Id="rId181"/><Relationship Type="http://schemas.openxmlformats.org/officeDocument/2006/relationships/hyperlink" Target="https://admin.shopify.com/store/bhoomija-2/products/8496660316207" TargetMode="External" Id="rId182"/><Relationship Type="http://schemas.openxmlformats.org/officeDocument/2006/relationships/hyperlink" Target="https://admin.shopify.com/store/bhoomija-2/products/8496653140015" TargetMode="External" Id="rId183"/><Relationship Type="http://schemas.openxmlformats.org/officeDocument/2006/relationships/hyperlink" Target="https://admin.shopify.com/store/bhoomija-2/products/8496651403311" TargetMode="External" Id="rId184"/><Relationship Type="http://schemas.openxmlformats.org/officeDocument/2006/relationships/hyperlink" Target="https://admin.shopify.com/store/bhoomija-2/products/8496647012399" TargetMode="External" Id="rId185"/><Relationship Type="http://schemas.openxmlformats.org/officeDocument/2006/relationships/hyperlink" Target="https://admin.shopify.com/store/bhoomija-2/products/8496660578351" TargetMode="External" Id="rId186"/><Relationship Type="http://schemas.openxmlformats.org/officeDocument/2006/relationships/hyperlink" Target="https://admin.shopify.com/store/bhoomija-2/products/8496652288047" TargetMode="External" Id="rId187"/><Relationship Type="http://schemas.openxmlformats.org/officeDocument/2006/relationships/hyperlink" Target="https://admin.shopify.com/store/bhoomija-2/products/8496637378607" TargetMode="External" Id="rId188"/><Relationship Type="http://schemas.openxmlformats.org/officeDocument/2006/relationships/hyperlink" Target="https://admin.shopify.com/store/bhoomija-2/products/8496661463087" TargetMode="External" Id="rId189"/><Relationship Type="http://schemas.openxmlformats.org/officeDocument/2006/relationships/hyperlink" Target="https://admin.shopify.com/store/bhoomija-2/products/8496661463087" TargetMode="External" Id="rId190"/><Relationship Type="http://schemas.openxmlformats.org/officeDocument/2006/relationships/hyperlink" Target="https://admin.shopify.com/store/bhoomija-2/products/8496661495855" TargetMode="External" Id="rId191"/><Relationship Type="http://schemas.openxmlformats.org/officeDocument/2006/relationships/hyperlink" Target="https://admin.shopify.com/store/bhoomija-2/products/8496652288047" TargetMode="External" Id="rId192"/><Relationship Type="http://schemas.openxmlformats.org/officeDocument/2006/relationships/hyperlink" Target="https://admin.shopify.com/store/bhoomija-2/products/8496637378607" TargetMode="External" Id="rId193"/><Relationship Type="http://schemas.openxmlformats.org/officeDocument/2006/relationships/hyperlink" Target="https://admin.shopify.com/store/bhoomija-2/products/8496661463087" TargetMode="External" Id="rId194"/><Relationship Type="http://schemas.openxmlformats.org/officeDocument/2006/relationships/hyperlink" Target="https://admin.shopify.com/store/bhoomija-2/products/8496661495855" TargetMode="External" Id="rId195"/><Relationship Type="http://schemas.openxmlformats.org/officeDocument/2006/relationships/hyperlink" Target="https://admin.shopify.com/store/bhoomija-2/products/8496652288047" TargetMode="External" Id="rId196"/><Relationship Type="http://schemas.openxmlformats.org/officeDocument/2006/relationships/hyperlink" Target="https://admin.shopify.com/store/bhoomija-2/products/8496637378607" TargetMode="External" Id="rId1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8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#</t>
        </is>
      </c>
      <c r="B1" s="1" t="inlineStr">
        <is>
          <t>Client description (what to look for)</t>
        </is>
      </c>
      <c r="C1" s="1" t="inlineStr">
        <is>
          <t>New title</t>
        </is>
      </c>
      <c r="D1" s="1" t="inlineStr">
        <is>
          <t>Price</t>
        </is>
      </c>
      <c r="E1" s="1" t="inlineStr">
        <is>
          <t>ANSWER (A/B/C/D/NONE)</t>
        </is>
      </c>
      <c r="F1" s="1" t="inlineStr">
        <is>
          <t>A photo</t>
        </is>
      </c>
      <c r="G1" s="1" t="inlineStr">
        <is>
          <t>B photo</t>
        </is>
      </c>
      <c r="H1" s="1" t="inlineStr">
        <is>
          <t>C photo</t>
        </is>
      </c>
      <c r="I1" s="1" t="inlineStr">
        <is>
          <t>D photo</t>
        </is>
      </c>
      <c r="J1" s="1" t="inlineStr">
        <is>
          <t>A</t>
        </is>
      </c>
      <c r="K1" s="1" t="inlineStr">
        <is>
          <t>B</t>
        </is>
      </c>
      <c r="L1" s="1" t="inlineStr">
        <is>
          <t>C</t>
        </is>
      </c>
      <c r="M1" s="1" t="inlineStr">
        <is>
          <t>D</t>
        </is>
      </c>
    </row>
    <row r="2" ht="120" customHeight="1">
      <c r="A2" s="2" t="n">
        <v>1</v>
      </c>
      <c r="B2" s="2" t="inlineStr">
        <is>
          <t>Moirang Phee Dupatta (Teal Green)</t>
        </is>
      </c>
      <c r="C2" s="2" t="inlineStr">
        <is>
          <t>Moirang Phee Dupatta (Teal Green)</t>
        </is>
      </c>
      <c r="D2" s="2" t="n">
        <v>3495</v>
      </c>
      <c r="E2" s="3" t="inlineStr"/>
      <c r="F2" s="2">
        <f>IMAGE("https://cdn.shopify.com/s/files/1/0774/6987/6271/files/dummy_630x840_ffffff_cccccc_aea70fb9-817f-441a-b2aa-1d25773c04cc_300x.png?v=1790870771")</f>
        <v/>
      </c>
      <c r="G2" s="2">
        <f>IMAGE("https://cdn.shopify.com/s/files/1/0774/6987/6271/files/jwl-nck-0017_01_300x.jpg?v=1790871558")</f>
        <v/>
      </c>
      <c r="H2" s="2">
        <f>IMAGE("https://cdn.shopify.com/s/files/1/0774/6987/6271/files/jwl-nck-0018_01_300x.jpg?v=1790871564")</f>
        <v/>
      </c>
      <c r="I2" s="2">
        <f>IMAGE("https://cdn.shopify.com/s/files/1/0774/6987/6271/files/wea-dup-0026_01_300x.jpg?v=1790873624")</f>
        <v/>
      </c>
      <c r="J2" s="4" t="inlineStr">
        <is>
          <t>WEA-DUP-0001</t>
        </is>
      </c>
      <c r="K2" s="4" t="inlineStr">
        <is>
          <t>JWL-NCK-0017</t>
        </is>
      </c>
      <c r="L2" s="4" t="inlineStr">
        <is>
          <t>JWL-NCK-0018</t>
        </is>
      </c>
      <c r="M2" s="4" t="inlineStr">
        <is>
          <t>WEA-DUP-0026</t>
        </is>
      </c>
    </row>
    <row r="3" ht="120" customHeight="1">
      <c r="A3" s="2" t="n">
        <v>2</v>
      </c>
      <c r="B3" s="2" t="inlineStr">
        <is>
          <t>Lahori (Blue, Pink, Orange Yellow Chevron)</t>
        </is>
      </c>
      <c r="C3" s="2" t="inlineStr">
        <is>
          <t>Vintage Lahori Kantha throw (Blue, Pink, Orange, Yellow Chevron)</t>
        </is>
      </c>
      <c r="D3" s="2" t="n">
        <v>8995</v>
      </c>
      <c r="E3" s="3" t="inlineStr"/>
      <c r="F3" s="2">
        <f>IMAGE("https://cdn.shopify.com/s/files/1/0774/6987/6271/files/hom-dur-0001_01_300x.jpg?v=1790871242")</f>
        <v/>
      </c>
      <c r="G3" s="2">
        <f>IMAGE("https://cdn.shopify.com/s/files/1/0774/6987/6271/files/hom-dur-0002_01_300x.jpg?v=1790871248")</f>
        <v/>
      </c>
      <c r="H3" s="2">
        <f>IMAGE("https://cdn.shopify.com/s/files/1/0774/6987/6271/files/hom-fig-0005_01_300x.jpg?v=1790871326")</f>
        <v/>
      </c>
      <c r="I3" s="2" t="inlineStr"/>
      <c r="J3" s="4" t="inlineStr">
        <is>
          <t>HOM-DUR-0001</t>
        </is>
      </c>
      <c r="K3" s="4" t="inlineStr">
        <is>
          <t>HOM-DUR-0002</t>
        </is>
      </c>
      <c r="L3" s="4" t="inlineStr">
        <is>
          <t>HOM-FIG-0005</t>
        </is>
      </c>
      <c r="M3" s="2" t="inlineStr"/>
    </row>
    <row r="4" ht="120" customHeight="1">
      <c r="A4" s="2" t="n">
        <v>3</v>
      </c>
      <c r="B4" s="2" t="inlineStr">
        <is>
          <t>Lahori (Pink, Black, Blue Chevron)</t>
        </is>
      </c>
      <c r="C4" s="2" t="inlineStr">
        <is>
          <t>Vintage Lahori Kantha throw (Pink, Black, Blue Chevron)</t>
        </is>
      </c>
      <c r="D4" s="2" t="n">
        <v>8995</v>
      </c>
      <c r="E4" s="3" t="inlineStr"/>
      <c r="F4" s="2">
        <f>IMAGE("https://cdn.shopify.com/s/files/1/0774/6987/6271/files/hom-dur-0001_01_300x.jpg?v=1790871242")</f>
        <v/>
      </c>
      <c r="G4" s="2">
        <f>IMAGE("https://cdn.shopify.com/s/files/1/0774/6987/6271/files/hom-dur-0002_01_300x.jpg?v=1790871248")</f>
        <v/>
      </c>
      <c r="H4" s="2">
        <f>IMAGE("https://cdn.shopify.com/s/files/1/0774/6987/6271/files/hom-fig-0005_01_300x.jpg?v=1790871326")</f>
        <v/>
      </c>
      <c r="I4" s="2" t="inlineStr"/>
      <c r="J4" s="4" t="inlineStr">
        <is>
          <t>HOM-DUR-0001</t>
        </is>
      </c>
      <c r="K4" s="4" t="inlineStr">
        <is>
          <t>HOM-DUR-0002</t>
        </is>
      </c>
      <c r="L4" s="4" t="inlineStr">
        <is>
          <t>HOM-FIG-0005</t>
        </is>
      </c>
      <c r="M4" s="2" t="inlineStr"/>
    </row>
    <row r="5" ht="120" customHeight="1">
      <c r="A5" s="2" t="n">
        <v>4</v>
      </c>
      <c r="B5" s="2" t="inlineStr">
        <is>
          <t>Nagamese Necklace - Multi colour beads on Azure (light) blue</t>
        </is>
      </c>
      <c r="C5" s="2" t="inlineStr">
        <is>
          <t>Nagamese Necklace - Multi colour beads on Azure (light) blue</t>
        </is>
      </c>
      <c r="D5" s="2" t="n">
        <v>1795</v>
      </c>
      <c r="E5" s="3" t="inlineStr"/>
      <c r="F5" s="2">
        <f>IMAGE("https://cdn.shopify.com/s/files/1/0774/6987/6271/files/jwl-nck-0022_01_300x.jpg?v=1790871645")</f>
        <v/>
      </c>
      <c r="G5" s="2">
        <f>IMAGE("https://cdn.shopify.com/s/files/1/0774/6987/6271/files/jwl-erg-0001_01_300x.jpg?v=1790871582")</f>
        <v/>
      </c>
      <c r="H5" s="2">
        <f>IMAGE("https://cdn.shopify.com/s/files/1/0774/6987/6271/files/gha-whg-0004_01_300x.jpg?v=1790873591")</f>
        <v/>
      </c>
      <c r="I5" s="2">
        <f>IMAGE("https://cdn.shopify.com/s/files/1/0774/6987/6271/files/hom-bsp-0007_01_300x.jpg?v=1790873971")</f>
        <v/>
      </c>
      <c r="J5" s="4" t="inlineStr">
        <is>
          <t>JWL-NCK-0022</t>
        </is>
      </c>
      <c r="K5" s="4" t="inlineStr">
        <is>
          <t>JWL-ERG-0001</t>
        </is>
      </c>
      <c r="L5" s="4" t="inlineStr">
        <is>
          <t>GHA-WHG-0004</t>
        </is>
      </c>
      <c r="M5" s="4" t="inlineStr">
        <is>
          <t>HOM-BSP-0007</t>
        </is>
      </c>
    </row>
    <row r="6" ht="120" customHeight="1">
      <c r="A6" s="2" t="n">
        <v>5</v>
      </c>
      <c r="B6" s="2" t="inlineStr">
        <is>
          <t>Nagamese Necklace - Multi colour beads on Cornflower (medium) blue</t>
        </is>
      </c>
      <c r="C6" s="2" t="inlineStr">
        <is>
          <t>Nagamese Necklace - Multi colour beads on Cornflower (medium) blue</t>
        </is>
      </c>
      <c r="D6" s="2" t="n">
        <v>1795</v>
      </c>
      <c r="E6" s="3" t="inlineStr"/>
      <c r="F6" s="2">
        <f>IMAGE("https://cdn.shopify.com/s/files/1/0774/6987/6271/files/jwl-nck-0022_01_300x.jpg?v=1790871645")</f>
        <v/>
      </c>
      <c r="G6" s="2">
        <f>IMAGE("https://cdn.shopify.com/s/files/1/0774/6987/6271/files/gha-whg-0004_01_300x.jpg?v=1790873591")</f>
        <v/>
      </c>
      <c r="H6" s="2">
        <f>IMAGE("https://cdn.shopify.com/s/files/1/0774/6987/6271/files/jwl-nck-0014_01_300x.jpg?v=1790871430")</f>
        <v/>
      </c>
      <c r="I6" s="2">
        <f>IMAGE("https://cdn.shopify.com/s/files/1/0774/6987/6271/files/hom-bsp-0007_01_300x.jpg?v=1790873971")</f>
        <v/>
      </c>
      <c r="J6" s="4" t="inlineStr">
        <is>
          <t>JWL-NCK-0022</t>
        </is>
      </c>
      <c r="K6" s="4" t="inlineStr">
        <is>
          <t>GHA-WHG-0004</t>
        </is>
      </c>
      <c r="L6" s="4" t="inlineStr">
        <is>
          <t>JWL-NCK-0014</t>
        </is>
      </c>
      <c r="M6" s="4" t="inlineStr">
        <is>
          <t>HOM-BSP-0007</t>
        </is>
      </c>
    </row>
    <row r="7" ht="120" customHeight="1">
      <c r="A7" s="2" t="n">
        <v>6</v>
      </c>
      <c r="B7" s="2" t="inlineStr">
        <is>
          <t>Nagamese Necklace - Yellow and Blue with bell accent</t>
        </is>
      </c>
      <c r="C7" s="2" t="inlineStr">
        <is>
          <t>Nagamese Necklace - Yellow and Blue with bell accent</t>
        </is>
      </c>
      <c r="D7" s="2" t="n">
        <v>1595</v>
      </c>
      <c r="E7" s="3" t="inlineStr"/>
      <c r="F7" s="2">
        <f>IMAGE("https://cdn.shopify.com/s/files/1/0774/6987/6271/files/jwl-nck-0023_01_300x.jpg?v=1790871658")</f>
        <v/>
      </c>
      <c r="G7" s="2">
        <f>IMAGE("https://cdn.shopify.com/s/files/1/0774/6987/6271/files/jwl-nck-0032_02_300x.jpg?v=1790871940")</f>
        <v/>
      </c>
      <c r="H7" s="2">
        <f>IMAGE("https://cdn.shopify.com/s/files/1/0774/6987/6271/files/jwl-nck-0035_01_300x.jpg?v=1790872124")</f>
        <v/>
      </c>
      <c r="I7" s="2">
        <f>IMAGE("https://cdn.shopify.com/s/files/1/0774/6987/6271/files/jwl-nck-0036_01_300x.jpg?v=1790872133")</f>
        <v/>
      </c>
      <c r="J7" s="4" t="inlineStr">
        <is>
          <t>JWL-NCK-0023</t>
        </is>
      </c>
      <c r="K7" s="4" t="inlineStr">
        <is>
          <t>JWL-NCK-0032</t>
        </is>
      </c>
      <c r="L7" s="4" t="inlineStr">
        <is>
          <t>JWL-NCK-0035</t>
        </is>
      </c>
      <c r="M7" s="4" t="inlineStr">
        <is>
          <t>JWL-NCK-0036</t>
        </is>
      </c>
    </row>
    <row r="8" ht="120" customHeight="1">
      <c r="A8" s="2" t="n">
        <v>7</v>
      </c>
      <c r="B8" s="2" t="inlineStr">
        <is>
          <t>Nagamese Multi-coloured choker (yellow, white beads)</t>
        </is>
      </c>
      <c r="C8" s="2" t="inlineStr">
        <is>
          <t>Handcrafted Nagamese Choker Necklace</t>
        </is>
      </c>
      <c r="D8" s="2" t="n">
        <v>2495</v>
      </c>
      <c r="E8" s="3" t="inlineStr"/>
      <c r="F8" s="2">
        <f>IMAGE("https://cdn.shopify.com/s/files/1/0774/6987/6271/files/jwl-nck-0024_01_300x.jpg?v=1790871666")</f>
        <v/>
      </c>
      <c r="G8" s="2">
        <f>IMAGE("https://cdn.shopify.com/s/files/1/0774/6987/6271/files/jwl-nck-0025_01_300x.jpg?v=1790871674")</f>
        <v/>
      </c>
      <c r="H8" s="2">
        <f>IMAGE("https://cdn.shopify.com/s/files/1/0774/6987/6271/files/gha-try-0001_01_300x.jpg?v=1790873169")</f>
        <v/>
      </c>
      <c r="I8" s="2">
        <f>IMAGE("https://cdn.shopify.com/s/files/1/0774/6987/6271/files/hom-bsp-0012_01_300x.jpg?v=1790874039")</f>
        <v/>
      </c>
      <c r="J8" s="4" t="inlineStr">
        <is>
          <t>JWL-NCK-0024</t>
        </is>
      </c>
      <c r="K8" s="4" t="inlineStr">
        <is>
          <t>JWL-NCK-0025</t>
        </is>
      </c>
      <c r="L8" s="4" t="inlineStr">
        <is>
          <t>GHA-TRY-0001</t>
        </is>
      </c>
      <c r="M8" s="4" t="inlineStr">
        <is>
          <t>HOM-BSP-0012</t>
        </is>
      </c>
    </row>
    <row r="9" ht="120" customHeight="1">
      <c r="A9" s="2" t="n">
        <v>8</v>
      </c>
      <c r="B9" s="2" t="inlineStr">
        <is>
          <t>Nagamese Ao Wrap Mekhla (Black with multi colour striped border)</t>
        </is>
      </c>
      <c r="C9" s="2" t="inlineStr">
        <is>
          <t>Nagamese wrapper</t>
        </is>
      </c>
      <c r="D9" s="2" t="n">
        <v>1495</v>
      </c>
      <c r="E9" s="3" t="inlineStr"/>
      <c r="F9" s="2">
        <f>IMAGE("https://cdn.shopify.com/s/files/1/0774/6987/6271/files/wea-stl-0004_01_300x.jpg?v=1790871402")</f>
        <v/>
      </c>
      <c r="G9" s="2">
        <f>IMAGE("https://cdn.shopify.com/s/files/1/0774/6987/6271/files/wea-mkw-0001_01_300x.jpg?v=1790871680")</f>
        <v/>
      </c>
      <c r="H9" s="2">
        <f>IMAGE("https://cdn.shopify.com/s/files/1/0774/6987/6271/files/gha-whg-0003_01_300x.jpg?v=1790873461")</f>
        <v/>
      </c>
      <c r="I9" s="2">
        <f>IMAGE("https://cdn.shopify.com/s/files/1/0774/6987/6271/files/jwl-nck-0002_01_300x.jpg?v=1790870983")</f>
        <v/>
      </c>
      <c r="J9" s="4" t="inlineStr">
        <is>
          <t>WEA-STL-0004</t>
        </is>
      </c>
      <c r="K9" s="4" t="inlineStr">
        <is>
          <t>WEA-MKW-0001</t>
        </is>
      </c>
      <c r="L9" s="4" t="inlineStr">
        <is>
          <t>GHA-WHG-0003</t>
        </is>
      </c>
      <c r="M9" s="4" t="inlineStr">
        <is>
          <t>JWL-NCK-0002</t>
        </is>
      </c>
    </row>
    <row r="10" ht="120" customHeight="1">
      <c r="A10" s="2" t="n">
        <v>9</v>
      </c>
      <c r="B10" s="2" t="inlineStr">
        <is>
          <t>Mizo Wrap Skirt (Black with Red striped border)</t>
        </is>
      </c>
      <c r="C10" s="2" t="inlineStr">
        <is>
          <t>Mizo wrapper</t>
        </is>
      </c>
      <c r="D10" s="2" t="n">
        <v>1795</v>
      </c>
      <c r="E10" s="3" t="inlineStr"/>
      <c r="F10" s="2">
        <f>IMAGE("https://cdn.shopify.com/s/files/1/0774/6987/6271/files/wea-mkw-0002_01_300x.jpg?v=1790871686")</f>
        <v/>
      </c>
      <c r="G10" s="2">
        <f>IMAGE("https://cdn.shopify.com/s/files/1/0774/6987/6271/files/wea-mkw-0010_01_300x.jpg?v=1790874078")</f>
        <v/>
      </c>
      <c r="H10" s="2">
        <f>IMAGE("https://cdn.shopify.com/s/files/1/0774/6987/6271/files/wea-mkw-0011_01_300x.jpg?v=1790874084")</f>
        <v/>
      </c>
      <c r="I10" s="2">
        <f>IMAGE("https://cdn.shopify.com/s/files/1/0774/6987/6271/files/jwl-nck-0014_01_300x.jpg?v=1790871430")</f>
        <v/>
      </c>
      <c r="J10" s="4" t="inlineStr">
        <is>
          <t>WEA-MKW-0002</t>
        </is>
      </c>
      <c r="K10" s="4" t="inlineStr">
        <is>
          <t>WEA-MKW-0010</t>
        </is>
      </c>
      <c r="L10" s="4" t="inlineStr">
        <is>
          <t>WEA-MKW-0011</t>
        </is>
      </c>
      <c r="M10" s="4" t="inlineStr">
        <is>
          <t>JWL-NCK-0014</t>
        </is>
      </c>
    </row>
    <row r="11" ht="120" customHeight="1">
      <c r="A11" s="2" t="n">
        <v>10</v>
      </c>
      <c r="B11" s="2" t="inlineStr">
        <is>
          <t>Assamese Wrap Mekhla (Red with multi colour panel on black base)</t>
        </is>
      </c>
      <c r="C11" s="2" t="inlineStr">
        <is>
          <t>Assamese wrapper</t>
        </is>
      </c>
      <c r="D11" s="2" t="n">
        <v>2795</v>
      </c>
      <c r="E11" s="3" t="inlineStr"/>
      <c r="F11" s="2">
        <f>IMAGE("https://cdn.shopify.com/s/files/1/0774/6987/6271/files/wea-mkw-0003_01_300x.jpg?v=1790871693")</f>
        <v/>
      </c>
      <c r="G11" s="2">
        <f>IMAGE("https://cdn.shopify.com/s/files/1/0774/6987/6271/files/jwl-nck-0026_01_300x.jpg?v=1790871881")</f>
        <v/>
      </c>
      <c r="H11" s="2">
        <f>IMAGE("https://cdn.shopify.com/s/files/1/0774/6987/6271/files/jwl-nck-0027_02_300x.jpg?v=1790871890")</f>
        <v/>
      </c>
      <c r="I11" s="2" t="inlineStr"/>
      <c r="J11" s="4" t="inlineStr">
        <is>
          <t>WEA-MKW-0003</t>
        </is>
      </c>
      <c r="K11" s="4" t="inlineStr">
        <is>
          <t>JWL-NCK-0026</t>
        </is>
      </c>
      <c r="L11" s="4" t="inlineStr">
        <is>
          <t>JWL-NCK-0027</t>
        </is>
      </c>
      <c r="M11" s="2" t="inlineStr"/>
    </row>
    <row r="12" ht="120" customHeight="1">
      <c r="A12" s="2" t="n">
        <v>11</v>
      </c>
      <c r="B12" s="2" t="inlineStr">
        <is>
          <t>Nagamese Necklace Multi colour Red, Brown</t>
        </is>
      </c>
      <c r="C12" s="2" t="inlineStr">
        <is>
          <t>Handcrafted Nagamese necklace - Red Brown</t>
        </is>
      </c>
      <c r="D12" s="2" t="n">
        <v>2795</v>
      </c>
      <c r="E12" s="3" t="inlineStr"/>
      <c r="F12" s="2">
        <f>IMAGE("https://cdn.shopify.com/s/files/1/0774/6987/6271/files/jwl-nck-0026_01_300x.jpg?v=1790871881")</f>
        <v/>
      </c>
      <c r="G12" s="2">
        <f>IMAGE("https://cdn.shopify.com/s/files/1/0774/6987/6271/files/jwl-nck-0027_02_300x.jpg?v=1790871890")</f>
        <v/>
      </c>
      <c r="H12" s="2">
        <f>IMAGE("https://cdn.shopify.com/s/files/1/0774/6987/6271/files/wea-mkw-0003_01_300x.jpg?v=1790871693")</f>
        <v/>
      </c>
      <c r="I12" s="2" t="inlineStr"/>
      <c r="J12" s="4" t="inlineStr">
        <is>
          <t>JWL-NCK-0026</t>
        </is>
      </c>
      <c r="K12" s="4" t="inlineStr">
        <is>
          <t>JWL-NCK-0027</t>
        </is>
      </c>
      <c r="L12" s="4" t="inlineStr">
        <is>
          <t>WEA-MKW-0003</t>
        </is>
      </c>
      <c r="M12" s="2" t="inlineStr"/>
    </row>
    <row r="13" ht="120" customHeight="1">
      <c r="A13" s="2" t="n">
        <v>12</v>
      </c>
      <c r="B13" s="2" t="inlineStr">
        <is>
          <t>Nagamese Necklace Blue Brown</t>
        </is>
      </c>
      <c r="C13" s="2" t="inlineStr">
        <is>
          <t>Handcrafted Nagamese necklace - Blue Brown</t>
        </is>
      </c>
      <c r="D13" s="2" t="n">
        <v>2795</v>
      </c>
      <c r="E13" s="3" t="inlineStr"/>
      <c r="F13" s="2">
        <f>IMAGE("https://cdn.shopify.com/s/files/1/0774/6987/6271/files/jwl-nck-0026_01_300x.jpg?v=1790871881")</f>
        <v/>
      </c>
      <c r="G13" s="2">
        <f>IMAGE("https://cdn.shopify.com/s/files/1/0774/6987/6271/files/jwl-nck-0027_02_300x.jpg?v=1790871890")</f>
        <v/>
      </c>
      <c r="H13" s="2">
        <f>IMAGE("https://cdn.shopify.com/s/files/1/0774/6987/6271/files/wea-mkw-0003_01_300x.jpg?v=1790871693")</f>
        <v/>
      </c>
      <c r="I13" s="2" t="inlineStr"/>
      <c r="J13" s="4" t="inlineStr">
        <is>
          <t>JWL-NCK-0026</t>
        </is>
      </c>
      <c r="K13" s="4" t="inlineStr">
        <is>
          <t>JWL-NCK-0027</t>
        </is>
      </c>
      <c r="L13" s="4" t="inlineStr">
        <is>
          <t>WEA-MKW-0003</t>
        </is>
      </c>
      <c r="M13" s="2" t="inlineStr"/>
    </row>
    <row r="14" ht="120" customHeight="1">
      <c r="A14" s="2" t="n">
        <v>13</v>
      </c>
      <c r="B14" s="2" t="inlineStr">
        <is>
          <t>Nagamese Necklace Multi colour (Gr, Or, Ye, Black)</t>
        </is>
      </c>
      <c r="C14" s="2" t="inlineStr">
        <is>
          <t>Handcrafted Nagamese necklace - Green, Orange</t>
        </is>
      </c>
      <c r="D14" s="2" t="n">
        <v>2495</v>
      </c>
      <c r="E14" s="3" t="inlineStr"/>
      <c r="F14" s="2">
        <f>IMAGE("https://cdn.shopify.com/s/files/1/0774/6987/6271/files/jwl-nck-0024_01_300x.jpg?v=1790871666")</f>
        <v/>
      </c>
      <c r="G14" s="2">
        <f>IMAGE("https://cdn.shopify.com/s/files/1/0774/6987/6271/files/jwl-nck-0025_01_300x.jpg?v=1790871674")</f>
        <v/>
      </c>
      <c r="H14" s="2">
        <f>IMAGE("https://cdn.shopify.com/s/files/1/0774/6987/6271/files/gha-try-0001_01_300x.jpg?v=1790873169")</f>
        <v/>
      </c>
      <c r="I14" s="2">
        <f>IMAGE("https://cdn.shopify.com/s/files/1/0774/6987/6271/files/hom-pln-0001_01_300x.jpg?v=1790872036")</f>
        <v/>
      </c>
      <c r="J14" s="4" t="inlineStr">
        <is>
          <t>JWL-NCK-0024</t>
        </is>
      </c>
      <c r="K14" s="4" t="inlineStr">
        <is>
          <t>JWL-NCK-0025</t>
        </is>
      </c>
      <c r="L14" s="4" t="inlineStr">
        <is>
          <t>GHA-TRY-0001</t>
        </is>
      </c>
      <c r="M14" s="4" t="inlineStr">
        <is>
          <t>HOM-PLN-0001</t>
        </is>
      </c>
    </row>
    <row r="15" ht="120" customHeight="1">
      <c r="A15" s="2" t="n">
        <v>14</v>
      </c>
      <c r="B15" s="2" t="inlineStr">
        <is>
          <t>Nagamese Necklace small 3 line Tassel Konyak Black, Yellow, White, Red</t>
        </is>
      </c>
      <c r="C15" s="2" t="inlineStr">
        <is>
          <t>Handcrafted Nagamese necklace - 3 Line tassel Black with multi colours</t>
        </is>
      </c>
      <c r="D15" s="2" t="n">
        <v>1195</v>
      </c>
      <c r="E15" s="3" t="inlineStr"/>
      <c r="F15" s="2">
        <f>IMAGE("https://cdn.shopify.com/s/files/1/0774/6987/6271/files/jwl-nck-0030_01_300x.jpg?v=1790871922")</f>
        <v/>
      </c>
      <c r="G15" s="2">
        <f>IMAGE("https://cdn.shopify.com/s/files/1/0774/6987/6271/files/jwl-nck-0031_01_300x.jpg?v=1790871931")</f>
        <v/>
      </c>
      <c r="H15" s="2">
        <f>IMAGE("https://cdn.shopify.com/s/files/1/0774/6987/6271/files/jwl-nck-0007_01_300x.jpg?v=1790871200")</f>
        <v/>
      </c>
      <c r="I15" s="2">
        <f>IMAGE("https://cdn.shopify.com/s/files/1/0774/6987/6271/files/jwl-nck-0008_01_300x.jpg?v=1790871209")</f>
        <v/>
      </c>
      <c r="J15" s="4" t="inlineStr">
        <is>
          <t>JWL-NCK-0030</t>
        </is>
      </c>
      <c r="K15" s="4" t="inlineStr">
        <is>
          <t>JWL-NCK-0031</t>
        </is>
      </c>
      <c r="L15" s="4" t="inlineStr">
        <is>
          <t>JWL-NCK-0007</t>
        </is>
      </c>
      <c r="M15" s="4" t="inlineStr">
        <is>
          <t>JWL-NCK-0008</t>
        </is>
      </c>
    </row>
    <row r="16" ht="120" customHeight="1">
      <c r="A16" s="2" t="n">
        <v>15</v>
      </c>
      <c r="B16" s="2" t="inlineStr">
        <is>
          <t>Nagamese Necklace small 3 line Tassel Ao Red, Blue</t>
        </is>
      </c>
      <c r="C16" s="2" t="inlineStr">
        <is>
          <t>Handcrafted Nagamese necklace - 3 Line tassel Red and Blue</t>
        </is>
      </c>
      <c r="D16" s="2" t="n">
        <v>1195</v>
      </c>
      <c r="E16" s="3" t="inlineStr"/>
      <c r="F16" s="2">
        <f>IMAGE("https://cdn.shopify.com/s/files/1/0774/6987/6271/files/jwl-nck-0030_01_300x.jpg?v=1790871922")</f>
        <v/>
      </c>
      <c r="G16" s="2">
        <f>IMAGE("https://cdn.shopify.com/s/files/1/0774/6987/6271/files/jwl-nck-0031_01_300x.jpg?v=1790871931")</f>
        <v/>
      </c>
      <c r="H16" s="2">
        <f>IMAGE("https://cdn.shopify.com/s/files/1/0774/6987/6271/files/jwl-nck-0007_01_300x.jpg?v=1790871200")</f>
        <v/>
      </c>
      <c r="I16" s="2">
        <f>IMAGE("https://cdn.shopify.com/s/files/1/0774/6987/6271/files/jwl-nck-0008_01_300x.jpg?v=1790871209")</f>
        <v/>
      </c>
      <c r="J16" s="4" t="inlineStr">
        <is>
          <t>JWL-NCK-0030</t>
        </is>
      </c>
      <c r="K16" s="4" t="inlineStr">
        <is>
          <t>JWL-NCK-0031</t>
        </is>
      </c>
      <c r="L16" s="4" t="inlineStr">
        <is>
          <t>JWL-NCK-0007</t>
        </is>
      </c>
      <c r="M16" s="4" t="inlineStr">
        <is>
          <t>JWL-NCK-0008</t>
        </is>
      </c>
    </row>
    <row r="17" ht="120" customHeight="1">
      <c r="A17" s="2" t="n">
        <v>16</v>
      </c>
      <c r="B17" s="2" t="inlineStr">
        <is>
          <t>Nagamese Necklace Lotha Black, Green, Orange, White</t>
        </is>
      </c>
      <c r="C17" s="2" t="inlineStr">
        <is>
          <t>Handcrafted Nagamese necklace - Black with tricolour</t>
        </is>
      </c>
      <c r="D17" s="2" t="n">
        <v>1595</v>
      </c>
      <c r="E17" s="3" t="inlineStr"/>
      <c r="F17" s="2">
        <f>IMAGE("https://cdn.shopify.com/s/files/1/0774/6987/6271/files/jwl-nck-0032_02_300x.jpg?v=1790871940")</f>
        <v/>
      </c>
      <c r="G17" s="2">
        <f>IMAGE("https://cdn.shopify.com/s/files/1/0774/6987/6271/files/jwl-nck-0035_01_300x.jpg?v=1790872124")</f>
        <v/>
      </c>
      <c r="H17" s="2">
        <f>IMAGE("https://cdn.shopify.com/s/files/1/0774/6987/6271/files/jwl-nck-0036_01_300x.jpg?v=1790872133")</f>
        <v/>
      </c>
      <c r="I17" s="2">
        <f>IMAGE("https://cdn.shopify.com/s/files/1/0774/6987/6271/files/jwl-nck-0037_01_300x.jpg?v=1790872143")</f>
        <v/>
      </c>
      <c r="J17" s="4" t="inlineStr">
        <is>
          <t>JWL-NCK-0032</t>
        </is>
      </c>
      <c r="K17" s="4" t="inlineStr">
        <is>
          <t>JWL-NCK-0035</t>
        </is>
      </c>
      <c r="L17" s="4" t="inlineStr">
        <is>
          <t>JWL-NCK-0036</t>
        </is>
      </c>
      <c r="M17" s="4" t="inlineStr">
        <is>
          <t>JWL-NCK-0037</t>
        </is>
      </c>
    </row>
    <row r="18" ht="120" customHeight="1">
      <c r="A18" s="2" t="n">
        <v>17</v>
      </c>
      <c r="B18" s="2" t="inlineStr">
        <is>
          <t>Nagamese Multi colour choker necklace - Orange</t>
        </is>
      </c>
      <c r="C18" s="2" t="inlineStr">
        <is>
          <t>Handcrafted Nagamese necklace - Orange</t>
        </is>
      </c>
      <c r="D18" s="2" t="n">
        <v>1395</v>
      </c>
      <c r="E18" s="3" t="inlineStr"/>
      <c r="F18" s="2">
        <f>IMAGE("https://cdn.shopify.com/s/files/1/0774/6987/6271/files/jwl-nck-0029_01_300x.jpg?v=1790871911")</f>
        <v/>
      </c>
      <c r="G18" s="2">
        <f>IMAGE("https://cdn.shopify.com/s/files/1/0774/6987/6271/files/wea-dup-0014_01_300x.jpg?v=1790872635")</f>
        <v/>
      </c>
      <c r="H18" s="2">
        <f>IMAGE("https://cdn.shopify.com/s/files/1/0774/6987/6271/files/wea-dup-0016_01_300x.jpg?v=1790872681")</f>
        <v/>
      </c>
      <c r="I18" s="2">
        <f>IMAGE("https://cdn.shopify.com/s/files/1/0774/6987/6271/files/wea-dup-0012_01_300x.jpg?v=1790872618")</f>
        <v/>
      </c>
      <c r="J18" s="4" t="inlineStr">
        <is>
          <t>JWL-NCK-0029</t>
        </is>
      </c>
      <c r="K18" s="4" t="inlineStr">
        <is>
          <t>WEA-DUP-0014</t>
        </is>
      </c>
      <c r="L18" s="4" t="inlineStr">
        <is>
          <t>WEA-DUP-0016</t>
        </is>
      </c>
      <c r="M18" s="4" t="inlineStr">
        <is>
          <t>WEA-DUP-0012</t>
        </is>
      </c>
    </row>
    <row r="19" ht="120" customHeight="1">
      <c r="A19" s="2" t="n">
        <v>18</v>
      </c>
      <c r="B19" s="2" t="inlineStr">
        <is>
          <t>Assamese Mekhla Chador (Black with Gold &amp; Red)</t>
        </is>
      </c>
      <c r="C19" s="2" t="inlineStr">
        <is>
          <t>Handwoven Mekhla Chador from Assam - Black with Gold border</t>
        </is>
      </c>
      <c r="D19" s="2" t="n">
        <v>4495</v>
      </c>
      <c r="E19" s="3" t="inlineStr"/>
      <c r="F19" s="2">
        <f>IMAGE("https://cdn.shopify.com/s/files/1/0774/6987/6271/files/wea-mkc-0002_01_300x.jpg?v=1790871974")</f>
        <v/>
      </c>
      <c r="G19" s="2">
        <f>IMAGE("https://cdn.shopify.com/s/files/1/0774/6987/6271/files/wea-mkc-0004_01_300x.jpg?v=1790872000")</f>
        <v/>
      </c>
      <c r="H19" s="2">
        <f>IMAGE("https://cdn.shopify.com/s/files/1/0774/6987/6271/files/wea-fab-0001_01_300x.jpg?v=1790870961")</f>
        <v/>
      </c>
      <c r="I19" s="2">
        <f>IMAGE("https://cdn.shopify.com/s/files/1/0774/6987/6271/files/wea-dup-0025_02_300x.jpg?v=1790873616")</f>
        <v/>
      </c>
      <c r="J19" s="4" t="inlineStr">
        <is>
          <t>WEA-MKC-0002</t>
        </is>
      </c>
      <c r="K19" s="4" t="inlineStr">
        <is>
          <t>WEA-MKC-0004</t>
        </is>
      </c>
      <c r="L19" s="4" t="inlineStr">
        <is>
          <t>WEA-FAB-0001</t>
        </is>
      </c>
      <c r="M19" s="4" t="inlineStr">
        <is>
          <t>WEA-DUP-0025</t>
        </is>
      </c>
    </row>
    <row r="20" ht="120" customHeight="1">
      <c r="A20" s="2" t="n">
        <v>19</v>
      </c>
      <c r="B20" s="2" t="inlineStr">
        <is>
          <t>Nagamese Konyak necklace (Yellow, open at both ends)</t>
        </is>
      </c>
      <c r="C20" s="2" t="inlineStr">
        <is>
          <t>Nagamese Open Necklace - Yellow</t>
        </is>
      </c>
      <c r="D20" s="2" t="n">
        <v>4495</v>
      </c>
      <c r="E20" s="3" t="inlineStr"/>
      <c r="F20" s="2">
        <f>IMAGE("https://cdn.shopify.com/s/files/1/0774/6987/6271/files/jwl-nck-0040_01_300x.jpg?v=1790872473")</f>
        <v/>
      </c>
      <c r="G20" s="2">
        <f>IMAGE("https://cdn.shopify.com/s/files/1/0774/6987/6271/files/wea-mkc-0002_01_300x.jpg?v=1790871974")</f>
        <v/>
      </c>
      <c r="H20" s="2">
        <f>IMAGE("https://cdn.shopify.com/s/files/1/0774/6987/6271/files/wea-mkc-0004_01_300x.jpg?v=1790872000")</f>
        <v/>
      </c>
      <c r="I20" s="2">
        <f>IMAGE("https://cdn.shopify.com/s/files/1/0774/6987/6271/files/wea-fab-0001_01_300x.jpg?v=1790870961")</f>
        <v/>
      </c>
      <c r="J20" s="4" t="inlineStr">
        <is>
          <t>JWL-NCK-0040</t>
        </is>
      </c>
      <c r="K20" s="4" t="inlineStr">
        <is>
          <t>WEA-MKC-0002</t>
        </is>
      </c>
      <c r="L20" s="4" t="inlineStr">
        <is>
          <t>WEA-MKC-0004</t>
        </is>
      </c>
      <c r="M20" s="4" t="inlineStr">
        <is>
          <t>WEA-FAB-0001</t>
        </is>
      </c>
    </row>
    <row r="21" ht="120" customHeight="1">
      <c r="A21" s="2" t="n">
        <v>20</v>
      </c>
      <c r="B21" s="2" t="inlineStr">
        <is>
          <t>Madurkathi Table Mat Set (6) including Runner - Natural Base with Red and Blue Patterns</t>
        </is>
      </c>
      <c r="C21" s="2" t="inlineStr">
        <is>
          <t>Madurkathi Table Mat Set (6) including Runner - Natural Base with Red and Blue Pattern</t>
        </is>
      </c>
      <c r="D21" s="2" t="n">
        <v>3695</v>
      </c>
      <c r="E21" s="3" t="inlineStr"/>
      <c r="F21" s="2">
        <f>IMAGE("https://cdn.shopify.com/s/files/1/0774/6987/6271/files/hom-mts-0001_01_300x.jpg?v=1790872501")</f>
        <v/>
      </c>
      <c r="G21" s="2">
        <f>IMAGE("https://cdn.shopify.com/s/files/1/0774/6987/6271/files/wea-fab-0002_01_300x.jpg?v=1790872874")</f>
        <v/>
      </c>
      <c r="H21" s="2">
        <f>IMAGE("https://cdn.shopify.com/s/files/1/0774/6987/6271/files/wea-fab-0003_01_300x.jpg?v=1790872900")</f>
        <v/>
      </c>
      <c r="I21" s="2">
        <f>IMAGE("https://cdn.shopify.com/s/files/1/0774/6987/6271/files/wea-fab-0004_01_300x.jpg?v=1790872908")</f>
        <v/>
      </c>
      <c r="J21" s="4" t="inlineStr">
        <is>
          <t>HOM-MTS-0001</t>
        </is>
      </c>
      <c r="K21" s="4" t="inlineStr">
        <is>
          <t>WEA-FAB-0002</t>
        </is>
      </c>
      <c r="L21" s="4" t="inlineStr">
        <is>
          <t>WEA-FAB-0003</t>
        </is>
      </c>
      <c r="M21" s="4" t="inlineStr">
        <is>
          <t>WEA-FAB-0004</t>
        </is>
      </c>
    </row>
    <row r="22" ht="120" customHeight="1">
      <c r="A22" s="2" t="n">
        <v>21</v>
      </c>
      <c r="B22" s="2" t="inlineStr">
        <is>
          <t>Madurkathi Table Mat Set (6) including Runner - Green Base with Natural Pattern</t>
        </is>
      </c>
      <c r="C22" s="2" t="inlineStr">
        <is>
          <t>Madurkathi Table Mat Set (6) including Runner - Green Base with Natural Pattern</t>
        </is>
      </c>
      <c r="D22" s="2" t="n">
        <v>3995</v>
      </c>
      <c r="E22" s="3" t="inlineStr"/>
      <c r="F22" s="2">
        <f>IMAGE("https://cdn.shopify.com/s/files/1/0774/6987/6271/files/hom-mts-0002_01_300x.jpg?v=1790872507")</f>
        <v/>
      </c>
      <c r="G22" s="2">
        <f>IMAGE("https://cdn.shopify.com/s/files/1/0774/6987/6271/files/war-ewh-0001_01_300x.jpg?v=1790873575")</f>
        <v/>
      </c>
      <c r="H22" s="2">
        <f>IMAGE("https://cdn.shopify.com/s/files/1/0774/6987/6271/files/war-pnt-0010_01_300x.jpg?v=1790872610")</f>
        <v/>
      </c>
      <c r="I22" s="2">
        <f>IMAGE("https://cdn.shopify.com/s/files/1/0774/6987/6271/files/hom-fig-0003_01_300x.jpg?v=1790871319")</f>
        <v/>
      </c>
      <c r="J22" s="4" t="inlineStr">
        <is>
          <t>HOM-MTS-0002</t>
        </is>
      </c>
      <c r="K22" s="4" t="inlineStr">
        <is>
          <t>WAR-EWH-0001</t>
        </is>
      </c>
      <c r="L22" s="4" t="inlineStr">
        <is>
          <t>WAR-PNT-0010</t>
        </is>
      </c>
      <c r="M22" s="4" t="inlineStr">
        <is>
          <t>HOM-FIG-0003</t>
        </is>
      </c>
    </row>
    <row r="23" ht="120" customHeight="1">
      <c r="A23" s="2" t="n">
        <v>22</v>
      </c>
      <c r="B23" s="2" t="inlineStr">
        <is>
          <t>Madurkathi Table Runner - Geometry in Black</t>
        </is>
      </c>
      <c r="C23" s="2" t="inlineStr">
        <is>
          <t>Madurkathi Table Runner - Geometry in Black</t>
        </is>
      </c>
      <c r="D23" s="2" t="n">
        <v>2195</v>
      </c>
      <c r="E23" s="3" t="inlineStr"/>
      <c r="F23" s="2">
        <f>IMAGE("https://cdn.shopify.com/s/files/1/0774/6987/6271/files/gha-run-0003_01_300x.jpg?v=1790872571")</f>
        <v/>
      </c>
      <c r="G23" s="2">
        <f>IMAGE("https://cdn.shopify.com/s/files/1/0774/6987/6271/files/hom-lmp-0003_01_300x.jpg?v=1790872977")</f>
        <v/>
      </c>
      <c r="H23" s="2">
        <f>IMAGE("https://cdn.shopify.com/s/files/1/0774/6987/6271/files/jwl-nck-0043_01_300x.jpg?v=1790874285")</f>
        <v/>
      </c>
      <c r="I23" s="2">
        <f>IMAGE("https://cdn.shopify.com/s/files/1/0774/6987/6271/files/jwl-nck-0044_02_300x.jpg?v=1790874294")</f>
        <v/>
      </c>
      <c r="J23" s="4" t="inlineStr">
        <is>
          <t>GHA-RUN-0003</t>
        </is>
      </c>
      <c r="K23" s="4" t="inlineStr">
        <is>
          <t>HOM-LMP-0003</t>
        </is>
      </c>
      <c r="L23" s="4" t="inlineStr">
        <is>
          <t>JWL-NCK-0043</t>
        </is>
      </c>
      <c r="M23" s="4" t="inlineStr">
        <is>
          <t>JWL-NCK-0044</t>
        </is>
      </c>
    </row>
    <row r="24" ht="120" customHeight="1">
      <c r="A24" s="2" t="n">
        <v>23</v>
      </c>
      <c r="B24" s="2" t="inlineStr">
        <is>
          <t>Cotton Jamdani Dupatta (Plum with black booti)</t>
        </is>
      </c>
      <c r="C24" s="2" t="inlineStr">
        <is>
          <t>Handwoven cotton jamdani dupatta - Plum with Black</t>
        </is>
      </c>
      <c r="D24" s="2" t="n">
        <v>1395</v>
      </c>
      <c r="E24" s="3" t="inlineStr"/>
      <c r="F24" s="2">
        <f>IMAGE("https://cdn.shopify.com/s/files/1/0774/6987/6271/files/wea-dup-0012_01_300x.jpg?v=1790872618")</f>
        <v/>
      </c>
      <c r="G24" s="2">
        <f>IMAGE("https://cdn.shopify.com/s/files/1/0774/6987/6271/files/wea-dup-0013_01_300x.jpg?v=1790872627")</f>
        <v/>
      </c>
      <c r="H24" s="2">
        <f>IMAGE("https://cdn.shopify.com/s/files/1/0774/6987/6271/files/wea-dup-0015_01_300x.jpg?v=1790872643")</f>
        <v/>
      </c>
      <c r="I24" s="2">
        <f>IMAGE("https://cdn.shopify.com/s/files/1/0774/6987/6271/files/wea-dup-0014_01_300x.jpg?v=1790872635")</f>
        <v/>
      </c>
      <c r="J24" s="4" t="inlineStr">
        <is>
          <t>WEA-DUP-0012</t>
        </is>
      </c>
      <c r="K24" s="4" t="inlineStr">
        <is>
          <t>WEA-DUP-0013</t>
        </is>
      </c>
      <c r="L24" s="4" t="inlineStr">
        <is>
          <t>WEA-DUP-0015</t>
        </is>
      </c>
      <c r="M24" s="4" t="inlineStr">
        <is>
          <t>WEA-DUP-0014</t>
        </is>
      </c>
    </row>
    <row r="25" ht="120" customHeight="1">
      <c r="A25" s="2" t="n">
        <v>24</v>
      </c>
      <c r="B25" s="2" t="inlineStr">
        <is>
          <t>Cotton Jamdani Dupatta (Plum with white booti)</t>
        </is>
      </c>
      <c r="C25" s="2" t="inlineStr">
        <is>
          <t>Handwoven cotton jamdani dupatta - Plum with White</t>
        </is>
      </c>
      <c r="D25" s="2" t="n">
        <v>1395</v>
      </c>
      <c r="E25" s="3" t="inlineStr"/>
      <c r="F25" s="2">
        <f>IMAGE("https://cdn.shopify.com/s/files/1/0774/6987/6271/files/wea-dup-0012_01_300x.jpg?v=1790872618")</f>
        <v/>
      </c>
      <c r="G25" s="2">
        <f>IMAGE("https://cdn.shopify.com/s/files/1/0774/6987/6271/files/wea-dup-0013_01_300x.jpg?v=1790872627")</f>
        <v/>
      </c>
      <c r="H25" s="2">
        <f>IMAGE("https://cdn.shopify.com/s/files/1/0774/6987/6271/files/wea-dup-0015_01_300x.jpg?v=1790872643")</f>
        <v/>
      </c>
      <c r="I25" s="2">
        <f>IMAGE("https://cdn.shopify.com/s/files/1/0774/6987/6271/files/wea-dup-0014_01_300x.jpg?v=1790872635")</f>
        <v/>
      </c>
      <c r="J25" s="4" t="inlineStr">
        <is>
          <t>WEA-DUP-0012</t>
        </is>
      </c>
      <c r="K25" s="4" t="inlineStr">
        <is>
          <t>WEA-DUP-0013</t>
        </is>
      </c>
      <c r="L25" s="4" t="inlineStr">
        <is>
          <t>WEA-DUP-0015</t>
        </is>
      </c>
      <c r="M25" s="4" t="inlineStr">
        <is>
          <t>WEA-DUP-0014</t>
        </is>
      </c>
    </row>
    <row r="26" ht="120" customHeight="1">
      <c r="A26" s="2" t="n">
        <v>25</v>
      </c>
      <c r="B26" s="2" t="inlineStr">
        <is>
          <t>Cotton Jamdani Dupatta (Teal with black booti)</t>
        </is>
      </c>
      <c r="C26" s="2" t="inlineStr">
        <is>
          <t>Handwoven cotton jamdani dupatta - Teal with Black</t>
        </is>
      </c>
      <c r="D26" s="2" t="n">
        <v>1395</v>
      </c>
      <c r="E26" s="3" t="inlineStr"/>
      <c r="F26" s="2">
        <f>IMAGE("https://cdn.shopify.com/s/files/1/0774/6987/6271/files/wea-dup-0012_01_300x.jpg?v=1790872618")</f>
        <v/>
      </c>
      <c r="G26" s="2">
        <f>IMAGE("https://cdn.shopify.com/s/files/1/0774/6987/6271/files/wea-dup-0013_01_300x.jpg?v=1790872627")</f>
        <v/>
      </c>
      <c r="H26" s="2">
        <f>IMAGE("https://cdn.shopify.com/s/files/1/0774/6987/6271/files/wea-dup-0015_01_300x.jpg?v=1790872643")</f>
        <v/>
      </c>
      <c r="I26" s="2">
        <f>IMAGE("https://cdn.shopify.com/s/files/1/0774/6987/6271/files/wea-dup-0014_01_300x.jpg?v=1790872635")</f>
        <v/>
      </c>
      <c r="J26" s="4" t="inlineStr">
        <is>
          <t>WEA-DUP-0012</t>
        </is>
      </c>
      <c r="K26" s="4" t="inlineStr">
        <is>
          <t>WEA-DUP-0013</t>
        </is>
      </c>
      <c r="L26" s="4" t="inlineStr">
        <is>
          <t>WEA-DUP-0015</t>
        </is>
      </c>
      <c r="M26" s="4" t="inlineStr">
        <is>
          <t>WEA-DUP-0014</t>
        </is>
      </c>
    </row>
    <row r="27" ht="120" customHeight="1">
      <c r="A27" s="2" t="n">
        <v>26</v>
      </c>
      <c r="B27" s="2" t="inlineStr">
        <is>
          <t>Cotton Jamdani Dupatta (Maroon with black booti)</t>
        </is>
      </c>
      <c r="C27" s="2" t="inlineStr">
        <is>
          <t>Handwoven cotton jamdani dupatta - Maroon with Black</t>
        </is>
      </c>
      <c r="D27" s="2" t="n">
        <v>1395</v>
      </c>
      <c r="E27" s="3" t="inlineStr"/>
      <c r="F27" s="2">
        <f>IMAGE("https://cdn.shopify.com/s/files/1/0774/6987/6271/files/wea-dup-0012_01_300x.jpg?v=1790872618")</f>
        <v/>
      </c>
      <c r="G27" s="2">
        <f>IMAGE("https://cdn.shopify.com/s/files/1/0774/6987/6271/files/wea-dup-0013_01_300x.jpg?v=1790872627")</f>
        <v/>
      </c>
      <c r="H27" s="2">
        <f>IMAGE("https://cdn.shopify.com/s/files/1/0774/6987/6271/files/wea-dup-0015_01_300x.jpg?v=1790872643")</f>
        <v/>
      </c>
      <c r="I27" s="2">
        <f>IMAGE("https://cdn.shopify.com/s/files/1/0774/6987/6271/files/wea-dup-0014_01_300x.jpg?v=1790872635")</f>
        <v/>
      </c>
      <c r="J27" s="4" t="inlineStr">
        <is>
          <t>WEA-DUP-0012</t>
        </is>
      </c>
      <c r="K27" s="4" t="inlineStr">
        <is>
          <t>WEA-DUP-0013</t>
        </is>
      </c>
      <c r="L27" s="4" t="inlineStr">
        <is>
          <t>WEA-DUP-0015</t>
        </is>
      </c>
      <c r="M27" s="4" t="inlineStr">
        <is>
          <t>WEA-DUP-0014</t>
        </is>
      </c>
    </row>
    <row r="28" ht="120" customHeight="1">
      <c r="A28" s="2" t="n">
        <v>27</v>
      </c>
      <c r="B28" s="2" t="inlineStr">
        <is>
          <t>Cotton Jamdani Dupatta (Maroon with white booti)</t>
        </is>
      </c>
      <c r="C28" s="2" t="inlineStr">
        <is>
          <t>Handwoven cotton jamdani dupatta - Maroon with White</t>
        </is>
      </c>
      <c r="D28" s="2" t="n">
        <v>1395</v>
      </c>
      <c r="E28" s="3" t="inlineStr"/>
      <c r="F28" s="2">
        <f>IMAGE("https://cdn.shopify.com/s/files/1/0774/6987/6271/files/wea-dup-0012_01_300x.jpg?v=1790872618")</f>
        <v/>
      </c>
      <c r="G28" s="2">
        <f>IMAGE("https://cdn.shopify.com/s/files/1/0774/6987/6271/files/wea-dup-0013_01_300x.jpg?v=1790872627")</f>
        <v/>
      </c>
      <c r="H28" s="2">
        <f>IMAGE("https://cdn.shopify.com/s/files/1/0774/6987/6271/files/wea-dup-0015_01_300x.jpg?v=1790872643")</f>
        <v/>
      </c>
      <c r="I28" s="2">
        <f>IMAGE("https://cdn.shopify.com/s/files/1/0774/6987/6271/files/wea-dup-0014_01_300x.jpg?v=1790872635")</f>
        <v/>
      </c>
      <c r="J28" s="4" t="inlineStr">
        <is>
          <t>WEA-DUP-0012</t>
        </is>
      </c>
      <c r="K28" s="4" t="inlineStr">
        <is>
          <t>WEA-DUP-0013</t>
        </is>
      </c>
      <c r="L28" s="4" t="inlineStr">
        <is>
          <t>WEA-DUP-0015</t>
        </is>
      </c>
      <c r="M28" s="4" t="inlineStr">
        <is>
          <t>WEA-DUP-0014</t>
        </is>
      </c>
    </row>
    <row r="29" ht="120" customHeight="1">
      <c r="A29" s="2" t="n">
        <v>28</v>
      </c>
      <c r="B29" s="2" t="inlineStr">
        <is>
          <t>Cotton Jamdani Dupatta Fulia (Indigo &amp; Red on White)</t>
        </is>
      </c>
      <c r="C29" s="2" t="inlineStr">
        <is>
          <t>Handwoven cotton jamdani dupatta - White</t>
        </is>
      </c>
      <c r="D29" s="2" t="n">
        <v>1495</v>
      </c>
      <c r="E29" s="3" t="inlineStr"/>
      <c r="F29" s="2">
        <f>IMAGE("https://cdn.shopify.com/s/files/1/0774/6987/6271/files/wea-stl-0004_01_300x.jpg?v=1790871402")</f>
        <v/>
      </c>
      <c r="G29" s="2">
        <f>IMAGE("https://cdn.shopify.com/s/files/1/0774/6987/6271/files/gha-whg-0003_01_300x.jpg?v=1790873461")</f>
        <v/>
      </c>
      <c r="H29" s="2">
        <f>IMAGE("https://cdn.shopify.com/s/files/1/0774/6987/6271/files/wea-dup-0017_01_300x.jpg?v=1790872689")</f>
        <v/>
      </c>
      <c r="I29" s="2">
        <f>IMAGE("https://cdn.shopify.com/s/files/1/0774/6987/6271/files/gbc-jbx-0002_01_300x.jpg?v=1790873208")</f>
        <v/>
      </c>
      <c r="J29" s="4" t="inlineStr">
        <is>
          <t>WEA-STL-0004</t>
        </is>
      </c>
      <c r="K29" s="4" t="inlineStr">
        <is>
          <t>GHA-WHG-0003</t>
        </is>
      </c>
      <c r="L29" s="4" t="inlineStr">
        <is>
          <t>WEA-DUP-0017</t>
        </is>
      </c>
      <c r="M29" s="4" t="inlineStr">
        <is>
          <t>GBC-JBX-0002</t>
        </is>
      </c>
    </row>
    <row r="30" ht="120" customHeight="1">
      <c r="A30" s="2" t="n">
        <v>29</v>
      </c>
      <c r="B30" s="2" t="inlineStr">
        <is>
          <t>Cotton Jamdani Dupatta Fulia (Striped Green)</t>
        </is>
      </c>
      <c r="C30" s="2" t="inlineStr">
        <is>
          <t>Handwoven cotton jamdani dupatta - Green</t>
        </is>
      </c>
      <c r="D30" s="2" t="n">
        <v>1595</v>
      </c>
      <c r="E30" s="3" t="inlineStr"/>
      <c r="F30" s="2">
        <f>IMAGE("https://cdn.shopify.com/s/files/1/0774/6987/6271/files/wea-dup-0018_01_300x.jpg?v=1790872697")</f>
        <v/>
      </c>
      <c r="G30" s="2">
        <f>IMAGE("https://cdn.shopify.com/s/files/1/0774/6987/6271/files/wea-stl-0015_01_300x.jpg?v=1790872775")</f>
        <v/>
      </c>
      <c r="H30" s="2">
        <f>IMAGE("https://cdn.shopify.com/s/files/1/0774/6987/6271/files/wea-dup-0020_01_300x.jpg?v=1790872783")</f>
        <v/>
      </c>
      <c r="I30" s="2">
        <f>IMAGE("https://cdn.shopify.com/s/files/1/0774/6987/6271/files/jwl-nck-0023_01_300x.jpg?v=1790871658")</f>
        <v/>
      </c>
      <c r="J30" s="4" t="inlineStr">
        <is>
          <t>WEA-DUP-0018</t>
        </is>
      </c>
      <c r="K30" s="4" t="inlineStr">
        <is>
          <t>WEA-STL-0015</t>
        </is>
      </c>
      <c r="L30" s="4" t="inlineStr">
        <is>
          <t>WEA-DUP-0020</t>
        </is>
      </c>
      <c r="M30" s="4" t="inlineStr">
        <is>
          <t>JWL-NCK-0023</t>
        </is>
      </c>
    </row>
    <row r="31" ht="120" customHeight="1">
      <c r="A31" s="2" t="n">
        <v>30</v>
      </c>
      <c r="B31" s="2" t="inlineStr">
        <is>
          <t>Cotton Jamdani Dupatta Fulia (Indigo)</t>
        </is>
      </c>
      <c r="C31" s="2" t="inlineStr">
        <is>
          <t>Handwoven cotton jamdani dupatta - Indigo</t>
        </is>
      </c>
      <c r="D31" s="2" t="n">
        <v>1595</v>
      </c>
      <c r="E31" s="3" t="inlineStr"/>
      <c r="F31" s="2">
        <f>IMAGE("https://cdn.shopify.com/s/files/1/0774/6987/6271/files/wea-dup-0018_01_300x.jpg?v=1790872697")</f>
        <v/>
      </c>
      <c r="G31" s="2">
        <f>IMAGE("https://cdn.shopify.com/s/files/1/0774/6987/6271/files/wea-stl-0015_01_300x.jpg?v=1790872775")</f>
        <v/>
      </c>
      <c r="H31" s="2">
        <f>IMAGE("https://cdn.shopify.com/s/files/1/0774/6987/6271/files/wea-dup-0020_01_300x.jpg?v=1790872783")</f>
        <v/>
      </c>
      <c r="I31" s="2">
        <f>IMAGE("https://cdn.shopify.com/s/files/1/0774/6987/6271/files/wea-dup-0019_01_300x.jpg?v=1790872706")</f>
        <v/>
      </c>
      <c r="J31" s="4" t="inlineStr">
        <is>
          <t>WEA-DUP-0018</t>
        </is>
      </c>
      <c r="K31" s="4" t="inlineStr">
        <is>
          <t>WEA-STL-0015</t>
        </is>
      </c>
      <c r="L31" s="4" t="inlineStr">
        <is>
          <t>WEA-DUP-0020</t>
        </is>
      </c>
      <c r="M31" s="4" t="inlineStr">
        <is>
          <t>WEA-DUP-0019</t>
        </is>
      </c>
    </row>
    <row r="32" ht="120" customHeight="1">
      <c r="A32" s="2" t="n">
        <v>31</v>
      </c>
      <c r="B32" s="2" t="inlineStr">
        <is>
          <t>Cotton Jamdani Stole Fulia (Olive Green)</t>
        </is>
      </c>
      <c r="C32" s="2" t="inlineStr">
        <is>
          <t>Handwoven Olive cotton jamdani stole</t>
        </is>
      </c>
      <c r="D32" s="2" t="n">
        <v>1095</v>
      </c>
      <c r="E32" s="3" t="inlineStr"/>
      <c r="F32" s="2">
        <f>IMAGE("https://cdn.shopify.com/s/files/1/0774/6987/6271/files/wea-stl-0010_01_300x.jpg?v=1790872722")</f>
        <v/>
      </c>
      <c r="G32" s="2">
        <f>IMAGE("https://cdn.shopify.com/s/files/1/0774/6987/6271/files/wea-stl-0011_01_300x.jpg?v=1790872730")</f>
        <v/>
      </c>
      <c r="H32" s="2">
        <f>IMAGE("https://cdn.shopify.com/s/files/1/0774/6987/6271/files/wea-stl-0012_01_300x.jpg?v=1790872737")</f>
        <v/>
      </c>
      <c r="I32" s="2">
        <f>IMAGE("https://cdn.shopify.com/s/files/1/0774/6987/6271/files/wea-stl-0013_01_300x.jpg?v=1790872745")</f>
        <v/>
      </c>
      <c r="J32" s="4" t="inlineStr">
        <is>
          <t>WEA-STL-0010</t>
        </is>
      </c>
      <c r="K32" s="4" t="inlineStr">
        <is>
          <t>WEA-STL-0011</t>
        </is>
      </c>
      <c r="L32" s="4" t="inlineStr">
        <is>
          <t>WEA-STL-0012</t>
        </is>
      </c>
      <c r="M32" s="4" t="inlineStr">
        <is>
          <t>WEA-STL-0013</t>
        </is>
      </c>
    </row>
    <row r="33" ht="120" customHeight="1">
      <c r="A33" s="2" t="n">
        <v>32</v>
      </c>
      <c r="B33" s="2" t="inlineStr">
        <is>
          <t>Cotton Jamdani Stole Fulia (Muted Plum)</t>
        </is>
      </c>
      <c r="C33" s="2" t="inlineStr">
        <is>
          <t>Handwoven Lilac cotton jamdani stole</t>
        </is>
      </c>
      <c r="D33" s="2" t="n">
        <v>1095</v>
      </c>
      <c r="E33" s="3" t="inlineStr"/>
      <c r="F33" s="2">
        <f>IMAGE("https://cdn.shopify.com/s/files/1/0774/6987/6271/files/wea-stl-0010_01_300x.jpg?v=1790872722")</f>
        <v/>
      </c>
      <c r="G33" s="2">
        <f>IMAGE("https://cdn.shopify.com/s/files/1/0774/6987/6271/files/wea-stl-0011_01_300x.jpg?v=1790872730")</f>
        <v/>
      </c>
      <c r="H33" s="2">
        <f>IMAGE("https://cdn.shopify.com/s/files/1/0774/6987/6271/files/wea-stl-0012_01_300x.jpg?v=1790872737")</f>
        <v/>
      </c>
      <c r="I33" s="2">
        <f>IMAGE("https://cdn.shopify.com/s/files/1/0774/6987/6271/files/wea-stl-0013_01_300x.jpg?v=1790872745")</f>
        <v/>
      </c>
      <c r="J33" s="4" t="inlineStr">
        <is>
          <t>WEA-STL-0010</t>
        </is>
      </c>
      <c r="K33" s="4" t="inlineStr">
        <is>
          <t>WEA-STL-0011</t>
        </is>
      </c>
      <c r="L33" s="4" t="inlineStr">
        <is>
          <t>WEA-STL-0012</t>
        </is>
      </c>
      <c r="M33" s="4" t="inlineStr">
        <is>
          <t>WEA-STL-0013</t>
        </is>
      </c>
    </row>
    <row r="34" ht="120" customHeight="1">
      <c r="A34" s="2" t="n">
        <v>33</v>
      </c>
      <c r="B34" s="2" t="inlineStr">
        <is>
          <t>Cotton Dupatta Jamdani (Salmon Pink with black buti)</t>
        </is>
      </c>
      <c r="C34" s="2" t="inlineStr">
        <is>
          <t>Handwoven cotton jamdani dupatta - Salmon Pink</t>
        </is>
      </c>
      <c r="D34" s="2" t="n">
        <v>1595</v>
      </c>
      <c r="E34" s="3" t="inlineStr"/>
      <c r="F34" s="2">
        <f>IMAGE("https://cdn.shopify.com/s/files/1/0774/6987/6271/files/wea-dup-0018_01_300x.jpg?v=1790872697")</f>
        <v/>
      </c>
      <c r="G34" s="2">
        <f>IMAGE("https://cdn.shopify.com/s/files/1/0774/6987/6271/files/wea-stl-0015_01_300x.jpg?v=1790872775")</f>
        <v/>
      </c>
      <c r="H34" s="2">
        <f>IMAGE("https://cdn.shopify.com/s/files/1/0774/6987/6271/files/wea-dup-0019_01_300x.jpg?v=1790872706")</f>
        <v/>
      </c>
      <c r="I34" s="2">
        <f>IMAGE("https://cdn.shopify.com/s/files/1/0774/6987/6271/files/wea-dup-0020_01_300x.jpg?v=1790872783")</f>
        <v/>
      </c>
      <c r="J34" s="4" t="inlineStr">
        <is>
          <t>WEA-DUP-0018</t>
        </is>
      </c>
      <c r="K34" s="4" t="inlineStr">
        <is>
          <t>WEA-STL-0015</t>
        </is>
      </c>
      <c r="L34" s="4" t="inlineStr">
        <is>
          <t>WEA-DUP-0019</t>
        </is>
      </c>
      <c r="M34" s="4" t="inlineStr">
        <is>
          <t>WEA-DUP-0020</t>
        </is>
      </c>
    </row>
    <row r="35" ht="120" customHeight="1">
      <c r="A35" s="2" t="n">
        <v>34</v>
      </c>
      <c r="B35" s="2" t="inlineStr">
        <is>
          <t>Matka Silk Stole Fulia (Indigo with Teal Magenta lotus border)</t>
        </is>
      </c>
      <c r="C35" s="2" t="inlineStr">
        <is>
          <t>Matka silk stole with jaquard hand woven motifs - Indigo with Teal and Magenta border</t>
        </is>
      </c>
      <c r="D35" s="2" t="n">
        <v>2095</v>
      </c>
      <c r="E35" s="3" t="inlineStr"/>
      <c r="F35" s="2">
        <f>IMAGE("https://cdn.shopify.com/s/files/1/0774/6987/6271/files/wea-stl-0017-blackyellow_01_300x.jpg?v=1790872805")</f>
        <v/>
      </c>
      <c r="G35" s="2">
        <f>IMAGE("https://cdn.shopify.com/s/files/1/0774/6987/6271/files/wea-stl-0018_01_300x.jpg?v=1790872813")</f>
        <v/>
      </c>
      <c r="H35" s="2">
        <f>IMAGE("https://cdn.shopify.com/s/files/1/0774/6987/6271/files/wea-stl-0016_01_300x.jpg?v=1790872790")</f>
        <v/>
      </c>
      <c r="I35" s="2">
        <f>IMAGE("https://cdn.shopify.com/s/files/1/0774/6987/6271/files/wea-dup-0008_02_300x.jpg?v=1790870934")</f>
        <v/>
      </c>
      <c r="J35" s="4" t="inlineStr">
        <is>
          <t>WEA-STL-0017-INDIGOTEAL</t>
        </is>
      </c>
      <c r="K35" s="4" t="inlineStr">
        <is>
          <t>WEA-STL-0018</t>
        </is>
      </c>
      <c r="L35" s="4" t="inlineStr">
        <is>
          <t>WEA-STL-0016</t>
        </is>
      </c>
      <c r="M35" s="4" t="inlineStr">
        <is>
          <t>WEA-DUP-0008</t>
        </is>
      </c>
    </row>
    <row r="36" ht="120" customHeight="1">
      <c r="A36" s="2" t="n">
        <v>35</v>
      </c>
      <c r="B36" s="2" t="inlineStr">
        <is>
          <t>Sujani Silk Stole (Brown with all over embroidery)</t>
        </is>
      </c>
      <c r="C36" s="2" t="inlineStr">
        <is>
          <t>Hand embroidered Sujani stole - Brown</t>
        </is>
      </c>
      <c r="D36" s="2" t="n">
        <v>10995</v>
      </c>
      <c r="E36" s="3" t="inlineStr"/>
      <c r="F36" s="2">
        <f>IMAGE("https://cdn.shopify.com/s/files/1/0774/6987/6271/files/wea-stl-0021_01_300x.jpg?v=1790873533")</f>
        <v/>
      </c>
      <c r="G36" s="2">
        <f>IMAGE("https://cdn.shopify.com/s/files/1/0774/6987/6271/files/wea-stl-0022_01_300x.jpg?v=1790873545")</f>
        <v/>
      </c>
      <c r="H36" s="2">
        <f>IMAGE("https://cdn.shopify.com/s/files/1/0774/6987/6271/files/wea-stl-0025_01_300x.jpg?v=1790873848")</f>
        <v/>
      </c>
      <c r="I36" s="2" t="inlineStr"/>
      <c r="J36" s="4" t="inlineStr">
        <is>
          <t>WEA-STL-0021</t>
        </is>
      </c>
      <c r="K36" s="4" t="inlineStr">
        <is>
          <t>WEA-STL-0022</t>
        </is>
      </c>
      <c r="L36" s="4" t="inlineStr">
        <is>
          <t>WEA-STL-0025</t>
        </is>
      </c>
      <c r="M36" s="2" t="inlineStr"/>
    </row>
    <row r="37" ht="120" customHeight="1">
      <c r="A37" s="2" t="n">
        <v>36</v>
      </c>
      <c r="B37" s="2" t="inlineStr">
        <is>
          <t>Sujani Silk Stole (Brown all over work in multi colour with chocolate border)</t>
        </is>
      </c>
      <c r="C37" s="2" t="inlineStr">
        <is>
          <t>Hand embroidered Sujani stole - Brown with multi colour</t>
        </is>
      </c>
      <c r="D37" s="2" t="n">
        <v>10995</v>
      </c>
      <c r="E37" s="3" t="inlineStr"/>
      <c r="F37" s="2">
        <f>IMAGE("https://cdn.shopify.com/s/files/1/0774/6987/6271/files/wea-stl-0021_01_300x.jpg?v=1790873533")</f>
        <v/>
      </c>
      <c r="G37" s="2">
        <f>IMAGE("https://cdn.shopify.com/s/files/1/0774/6987/6271/files/wea-stl-0022_01_300x.jpg?v=1790873545")</f>
        <v/>
      </c>
      <c r="H37" s="2">
        <f>IMAGE("https://cdn.shopify.com/s/files/1/0774/6987/6271/files/wea-stl-0025_01_300x.jpg?v=1790873848")</f>
        <v/>
      </c>
      <c r="I37" s="2" t="inlineStr"/>
      <c r="J37" s="4" t="inlineStr">
        <is>
          <t>WEA-STL-0021</t>
        </is>
      </c>
      <c r="K37" s="4" t="inlineStr">
        <is>
          <t>WEA-STL-0022</t>
        </is>
      </c>
      <c r="L37" s="4" t="inlineStr">
        <is>
          <t>WEA-STL-0025</t>
        </is>
      </c>
      <c r="M37" s="2" t="inlineStr"/>
    </row>
    <row r="38" ht="120" customHeight="1">
      <c r="A38" s="2" t="n">
        <v>37</v>
      </c>
      <c r="B38" s="2" t="inlineStr">
        <is>
          <t>52 Booti King Bedspread (Blue base, C8 Motif in the middle)</t>
        </is>
      </c>
      <c r="C38" s="2" t="inlineStr">
        <is>
          <t>52 Booti King Bedspread (Blue base, C8 Motif in the middle)</t>
        </is>
      </c>
      <c r="D38" s="2" t="n">
        <v>4995</v>
      </c>
      <c r="E38" s="3" t="inlineStr"/>
      <c r="F38" s="2">
        <f>IMAGE("https://cdn.shopify.com/s/files/1/0774/6987/6271/files/hom-bsp-0001_01_300x.jpg?v=1790873931")</f>
        <v/>
      </c>
      <c r="G38" s="2">
        <f>IMAGE("https://cdn.shopify.com/s/files/1/0774/6987/6271/files/hom-bsp-0002_01_300x.jpg?v=1790873937")</f>
        <v/>
      </c>
      <c r="H38" s="2">
        <f>IMAGE("https://cdn.shopify.com/s/files/1/0774/6987/6271/files/hom-bsp-0003_01_300x.jpg?v=1790873944")</f>
        <v/>
      </c>
      <c r="I38" s="2">
        <f>IMAGE("https://cdn.shopify.com/s/files/1/0774/6987/6271/files/jwl-nck-0021_01_300x.jpg?v=1790871597")</f>
        <v/>
      </c>
      <c r="J38" s="4" t="inlineStr">
        <is>
          <t>HOM-BSP-0001</t>
        </is>
      </c>
      <c r="K38" s="4" t="inlineStr">
        <is>
          <t>HOM-BSP-0002</t>
        </is>
      </c>
      <c r="L38" s="4" t="inlineStr">
        <is>
          <t>HOM-BSP-0003</t>
        </is>
      </c>
      <c r="M38" s="4" t="inlineStr">
        <is>
          <t>JWL-NCK-0021</t>
        </is>
      </c>
    </row>
    <row r="39" ht="120" customHeight="1">
      <c r="A39" s="2" t="n">
        <v>38</v>
      </c>
      <c r="B39" s="2" t="inlineStr">
        <is>
          <t>52 Booti King Bedspread (Purple base, Beige border &amp; motif)</t>
        </is>
      </c>
      <c r="C39" s="2" t="inlineStr">
        <is>
          <t>52 Booti King Bedspread (Purple base, Beige border &amp; motif)</t>
        </is>
      </c>
      <c r="D39" s="2" t="n">
        <v>4995</v>
      </c>
      <c r="E39" s="3" t="inlineStr"/>
      <c r="F39" s="2">
        <f>IMAGE("https://cdn.shopify.com/s/files/1/0774/6987/6271/files/hom-bsp-0001_01_300x.jpg?v=1790873931")</f>
        <v/>
      </c>
      <c r="G39" s="2">
        <f>IMAGE("https://cdn.shopify.com/s/files/1/0774/6987/6271/files/hom-bsp-0002_01_300x.jpg?v=1790873937")</f>
        <v/>
      </c>
      <c r="H39" s="2">
        <f>IMAGE("https://cdn.shopify.com/s/files/1/0774/6987/6271/files/hom-bsp-0003_01_300x.jpg?v=1790873944")</f>
        <v/>
      </c>
      <c r="I39" s="2">
        <f>IMAGE("https://cdn.shopify.com/s/files/1/0774/6987/6271/files/jwl-nck-0021_01_300x.jpg?v=1790871597")</f>
        <v/>
      </c>
      <c r="J39" s="4" t="inlineStr">
        <is>
          <t>HOM-BSP-0001</t>
        </is>
      </c>
      <c r="K39" s="4" t="inlineStr">
        <is>
          <t>HOM-BSP-0002</t>
        </is>
      </c>
      <c r="L39" s="4" t="inlineStr">
        <is>
          <t>HOM-BSP-0003</t>
        </is>
      </c>
      <c r="M39" s="4" t="inlineStr">
        <is>
          <t>JWL-NCK-0021</t>
        </is>
      </c>
    </row>
    <row r="40" ht="120" customHeight="1">
      <c r="A40" s="2" t="n">
        <v>39</v>
      </c>
      <c r="B40" s="2" t="inlineStr">
        <is>
          <t>52 Booti King Bedspread (Light blue base, Yellow border &amp; motif)</t>
        </is>
      </c>
      <c r="C40" s="2" t="inlineStr">
        <is>
          <t>52 Booti King Bedspread (Light blue base, Yellow border &amp; motif)</t>
        </is>
      </c>
      <c r="D40" s="2" t="n">
        <v>4995</v>
      </c>
      <c r="E40" s="3" t="inlineStr"/>
      <c r="F40" s="2">
        <f>IMAGE("https://cdn.shopify.com/s/files/1/0774/6987/6271/files/hom-bsp-0001_01_300x.jpg?v=1790873931")</f>
        <v/>
      </c>
      <c r="G40" s="2">
        <f>IMAGE("https://cdn.shopify.com/s/files/1/0774/6987/6271/files/hom-bsp-0002_01_300x.jpg?v=1790873937")</f>
        <v/>
      </c>
      <c r="H40" s="2">
        <f>IMAGE("https://cdn.shopify.com/s/files/1/0774/6987/6271/files/hom-bsp-0003_01_300x.jpg?v=1790873944")</f>
        <v/>
      </c>
      <c r="I40" s="2">
        <f>IMAGE("https://cdn.shopify.com/s/files/1/0774/6987/6271/files/war-pnt-0009_01_300x.jpg?v=1790872604")</f>
        <v/>
      </c>
      <c r="J40" s="4" t="inlineStr">
        <is>
          <t>HOM-BSP-0001</t>
        </is>
      </c>
      <c r="K40" s="4" t="inlineStr">
        <is>
          <t>HOM-BSP-0002</t>
        </is>
      </c>
      <c r="L40" s="4" t="inlineStr">
        <is>
          <t>HOM-BSP-0003</t>
        </is>
      </c>
      <c r="M40" s="4" t="inlineStr">
        <is>
          <t>WAR-PNT-0009</t>
        </is>
      </c>
    </row>
    <row r="41" ht="120" customHeight="1">
      <c r="A41" s="2" t="n">
        <v>40</v>
      </c>
      <c r="B41" s="2" t="inlineStr">
        <is>
          <t>52 Booti Queen Bedspread (Yellow base, Purple stripes &amp; motif)</t>
        </is>
      </c>
      <c r="C41" s="2" t="inlineStr">
        <is>
          <t>52 Booti Queen Bedspread (Yellow base, Purple stripes &amp; motif)</t>
        </is>
      </c>
      <c r="D41" s="2" t="n">
        <v>2995</v>
      </c>
      <c r="E41" s="3" t="inlineStr"/>
      <c r="F41" s="2">
        <f>IMAGE("https://cdn.shopify.com/s/files/1/0774/6987/6271/files/hom-bsp-0004_01_300x.jpg?v=1790873951")</f>
        <v/>
      </c>
      <c r="G41" s="2">
        <f>IMAGE("https://cdn.shopify.com/s/files/1/0774/6987/6271/files/hom-bsp-0005_01_300x.jpg?v=1790873958")</f>
        <v/>
      </c>
      <c r="H41" s="2">
        <f>IMAGE("https://cdn.shopify.com/s/files/1/0774/6987/6271/files/hom-bsp-0006_01_300x.jpg?v=1790873965")</f>
        <v/>
      </c>
      <c r="I41" s="2">
        <f>IMAGE("https://cdn.shopify.com/s/files/1/0774/6987/6271/files/wea-dup-0032_01_300x.jpg?v=1790873858")</f>
        <v/>
      </c>
      <c r="J41" s="4" t="inlineStr">
        <is>
          <t>HOM-BSP-0004</t>
        </is>
      </c>
      <c r="K41" s="4" t="inlineStr">
        <is>
          <t>HOM-BSP-0005</t>
        </is>
      </c>
      <c r="L41" s="4" t="inlineStr">
        <is>
          <t>HOM-BSP-0006</t>
        </is>
      </c>
      <c r="M41" s="4" t="inlineStr">
        <is>
          <t>WEA-DUP-0032</t>
        </is>
      </c>
    </row>
    <row r="42" ht="120" customHeight="1">
      <c r="A42" s="2" t="n">
        <v>41</v>
      </c>
      <c r="B42" s="2" t="inlineStr">
        <is>
          <t>52 Booti Queen Bedspread (Blue base, Red stripes &amp; motif)</t>
        </is>
      </c>
      <c r="C42" s="2" t="inlineStr">
        <is>
          <t>52 Booti Queen Bedspread (Blue base, Red stripes &amp; motif)</t>
        </is>
      </c>
      <c r="D42" s="2" t="n">
        <v>2995</v>
      </c>
      <c r="E42" s="3" t="inlineStr"/>
      <c r="F42" s="2">
        <f>IMAGE("https://cdn.shopify.com/s/files/1/0774/6987/6271/files/hom-bsp-0004_01_300x.jpg?v=1790873951")</f>
        <v/>
      </c>
      <c r="G42" s="2">
        <f>IMAGE("https://cdn.shopify.com/s/files/1/0774/6987/6271/files/hom-bsp-0005_01_300x.jpg?v=1790873958")</f>
        <v/>
      </c>
      <c r="H42" s="2">
        <f>IMAGE("https://cdn.shopify.com/s/files/1/0774/6987/6271/files/hom-bsp-0006_01_300x.jpg?v=1790873965")</f>
        <v/>
      </c>
      <c r="I42" s="2">
        <f>IMAGE("https://cdn.shopify.com/s/files/1/0774/6987/6271/files/wea-dup-0032_01_300x.jpg?v=1790873858")</f>
        <v/>
      </c>
      <c r="J42" s="4" t="inlineStr">
        <is>
          <t>HOM-BSP-0004</t>
        </is>
      </c>
      <c r="K42" s="4" t="inlineStr">
        <is>
          <t>HOM-BSP-0005</t>
        </is>
      </c>
      <c r="L42" s="4" t="inlineStr">
        <is>
          <t>HOM-BSP-0006</t>
        </is>
      </c>
      <c r="M42" s="4" t="inlineStr">
        <is>
          <t>WEA-DUP-0032</t>
        </is>
      </c>
    </row>
    <row r="43" ht="120" customHeight="1">
      <c r="A43" s="2" t="n">
        <v>42</v>
      </c>
      <c r="B43" s="2" t="inlineStr">
        <is>
          <t>52 Booti Queen Bedspread (Orange base, Red border &amp; motif)</t>
        </is>
      </c>
      <c r="C43" s="2" t="inlineStr">
        <is>
          <t>52 Booti Queen Bedspread (Orange base, Red border &amp; motif)</t>
        </is>
      </c>
      <c r="D43" s="2" t="n">
        <v>2995</v>
      </c>
      <c r="E43" s="3" t="inlineStr"/>
      <c r="F43" s="2">
        <f>IMAGE("https://cdn.shopify.com/s/files/1/0774/6987/6271/files/hom-bsp-0004_01_300x.jpg?v=1790873951")</f>
        <v/>
      </c>
      <c r="G43" s="2">
        <f>IMAGE("https://cdn.shopify.com/s/files/1/0774/6987/6271/files/hom-bsp-0005_01_300x.jpg?v=1790873958")</f>
        <v/>
      </c>
      <c r="H43" s="2">
        <f>IMAGE("https://cdn.shopify.com/s/files/1/0774/6987/6271/files/hom-bsp-0006_01_300x.jpg?v=1790873965")</f>
        <v/>
      </c>
      <c r="I43" s="2">
        <f>IMAGE("https://cdn.shopify.com/s/files/1/0774/6987/6271/files/wea-dup-0032_01_300x.jpg?v=1790873858")</f>
        <v/>
      </c>
      <c r="J43" s="4" t="inlineStr">
        <is>
          <t>HOM-BSP-0004</t>
        </is>
      </c>
      <c r="K43" s="4" t="inlineStr">
        <is>
          <t>HOM-BSP-0005</t>
        </is>
      </c>
      <c r="L43" s="4" t="inlineStr">
        <is>
          <t>HOM-BSP-0006</t>
        </is>
      </c>
      <c r="M43" s="4" t="inlineStr">
        <is>
          <t>WEA-DUP-0032</t>
        </is>
      </c>
    </row>
    <row r="44" ht="120" customHeight="1">
      <c r="A44" s="2" t="n">
        <v>43</v>
      </c>
      <c r="B44" s="2" t="inlineStr">
        <is>
          <t>52 Booti Single Bedspread (Teal Green base, Fruit motif)</t>
        </is>
      </c>
      <c r="C44" s="2" t="inlineStr">
        <is>
          <t>52 Booti Single Bedspread (Teal Green base, Fruit motif)</t>
        </is>
      </c>
      <c r="D44" s="2" t="n">
        <v>1795</v>
      </c>
      <c r="E44" s="3" t="inlineStr"/>
      <c r="F44" s="2">
        <f>IMAGE("https://cdn.shopify.com/s/files/1/0774/6987/6271/files/hom-bsp-0007_01_300x.jpg?v=1790873971")</f>
        <v/>
      </c>
      <c r="G44" s="2">
        <f>IMAGE("https://cdn.shopify.com/s/files/1/0774/6987/6271/files/hom-bsp-0008_01_300x.jpg?v=1790873978")</f>
        <v/>
      </c>
      <c r="H44" s="2">
        <f>IMAGE("https://cdn.shopify.com/s/files/1/0774/6987/6271/files/hom-bsp-0009_01_300x.jpg?v=1790874020")</f>
        <v/>
      </c>
      <c r="I44" s="2">
        <f>IMAGE("https://cdn.shopify.com/s/files/1/0774/6987/6271/files/hom-bsp-0010_01_300x.jpg?v=1790874026")</f>
        <v/>
      </c>
      <c r="J44" s="4" t="inlineStr">
        <is>
          <t>HOM-BSP-0007</t>
        </is>
      </c>
      <c r="K44" s="4" t="inlineStr">
        <is>
          <t>HOM-BSP-0008</t>
        </is>
      </c>
      <c r="L44" s="4" t="inlineStr">
        <is>
          <t>HOM-BSP-0009</t>
        </is>
      </c>
      <c r="M44" s="4" t="inlineStr">
        <is>
          <t>HOM-BSP-0010</t>
        </is>
      </c>
    </row>
    <row r="45" ht="120" customHeight="1">
      <c r="A45" s="2" t="n">
        <v>44</v>
      </c>
      <c r="B45" s="2" t="inlineStr">
        <is>
          <t>52 Booti Single Bedspread (Pink base, Butterfly motif)</t>
        </is>
      </c>
      <c r="C45" s="2" t="inlineStr">
        <is>
          <t>52 Booti Single Bedspread (Pink base, Butterfly motif)</t>
        </is>
      </c>
      <c r="D45" s="2" t="n">
        <v>1795</v>
      </c>
      <c r="E45" s="3" t="inlineStr"/>
      <c r="F45" s="2">
        <f>IMAGE("https://cdn.shopify.com/s/files/1/0774/6987/6271/files/hom-bsp-0007_01_300x.jpg?v=1790873971")</f>
        <v/>
      </c>
      <c r="G45" s="2">
        <f>IMAGE("https://cdn.shopify.com/s/files/1/0774/6987/6271/files/hom-bsp-0008_01_300x.jpg?v=1790873978")</f>
        <v/>
      </c>
      <c r="H45" s="2">
        <f>IMAGE("https://cdn.shopify.com/s/files/1/0774/6987/6271/files/hom-bsp-0009_01_300x.jpg?v=1790874020")</f>
        <v/>
      </c>
      <c r="I45" s="2">
        <f>IMAGE("https://cdn.shopify.com/s/files/1/0774/6987/6271/files/hom-bsp-0010_01_300x.jpg?v=1790874026")</f>
        <v/>
      </c>
      <c r="J45" s="4" t="inlineStr">
        <is>
          <t>HOM-BSP-0007</t>
        </is>
      </c>
      <c r="K45" s="4" t="inlineStr">
        <is>
          <t>HOM-BSP-0008</t>
        </is>
      </c>
      <c r="L45" s="4" t="inlineStr">
        <is>
          <t>HOM-BSP-0009</t>
        </is>
      </c>
      <c r="M45" s="4" t="inlineStr">
        <is>
          <t>HOM-BSP-0010</t>
        </is>
      </c>
    </row>
    <row r="46" ht="120" customHeight="1">
      <c r="A46" s="2" t="n">
        <v>45</v>
      </c>
      <c r="B46" s="2" t="inlineStr">
        <is>
          <t>52 Booti Single Bedspread (Green base, broad border &amp; motif)</t>
        </is>
      </c>
      <c r="C46" s="2" t="inlineStr">
        <is>
          <t>52 Booti Single Bedspread (Green base, broad border &amp; motif)</t>
        </is>
      </c>
      <c r="D46" s="2" t="n">
        <v>1795</v>
      </c>
      <c r="E46" s="3" t="inlineStr"/>
      <c r="F46" s="2">
        <f>IMAGE("https://cdn.shopify.com/s/files/1/0774/6987/6271/files/gha-whg-0004_01_300x.jpg?v=1790873591")</f>
        <v/>
      </c>
      <c r="G46" s="2">
        <f>IMAGE("https://cdn.shopify.com/s/files/1/0774/6987/6271/files/hom-bsp-0007_01_300x.jpg?v=1790873971")</f>
        <v/>
      </c>
      <c r="H46" s="2">
        <f>IMAGE("https://cdn.shopify.com/s/files/1/0774/6987/6271/files/hom-bsp-0008_01_300x.jpg?v=1790873978")</f>
        <v/>
      </c>
      <c r="I46" s="2">
        <f>IMAGE("https://cdn.shopify.com/s/files/1/0774/6987/6271/files/hom-bsp-0009_01_300x.jpg?v=1790874020")</f>
        <v/>
      </c>
      <c r="J46" s="4" t="inlineStr">
        <is>
          <t>GHA-WHG-0004</t>
        </is>
      </c>
      <c r="K46" s="4" t="inlineStr">
        <is>
          <t>HOM-BSP-0007</t>
        </is>
      </c>
      <c r="L46" s="4" t="inlineStr">
        <is>
          <t>HOM-BSP-0008</t>
        </is>
      </c>
      <c r="M46" s="4" t="inlineStr">
        <is>
          <t>HOM-BSP-0009</t>
        </is>
      </c>
    </row>
    <row r="47" ht="120" customHeight="1">
      <c r="A47" s="2" t="n">
        <v>46</v>
      </c>
      <c r="B47" s="2" t="inlineStr">
        <is>
          <t>52 Booti Single Bedspread (Blue base, Santa Claus &amp; Snowman motif)</t>
        </is>
      </c>
      <c r="C47" s="2" t="inlineStr">
        <is>
          <t>52 Booti Single Bedspread (Blue base, Santa Claus &amp; Snowman motif)</t>
        </is>
      </c>
      <c r="D47" s="2" t="n">
        <v>1795</v>
      </c>
      <c r="E47" s="3" t="inlineStr"/>
      <c r="F47" s="2">
        <f>IMAGE("https://cdn.shopify.com/s/files/1/0774/6987/6271/files/hom-bsp-0007_01_300x.jpg?v=1790873971")</f>
        <v/>
      </c>
      <c r="G47" s="2">
        <f>IMAGE("https://cdn.shopify.com/s/files/1/0774/6987/6271/files/hom-bsp-0008_01_300x.jpg?v=1790873978")</f>
        <v/>
      </c>
      <c r="H47" s="2">
        <f>IMAGE("https://cdn.shopify.com/s/files/1/0774/6987/6271/files/hom-bsp-0009_01_300x.jpg?v=1790874020")</f>
        <v/>
      </c>
      <c r="I47" s="2">
        <f>IMAGE("https://cdn.shopify.com/s/files/1/0774/6987/6271/files/hom-bsp-0010_01_300x.jpg?v=1790874026")</f>
        <v/>
      </c>
      <c r="J47" s="4" t="inlineStr">
        <is>
          <t>HOM-BSP-0007</t>
        </is>
      </c>
      <c r="K47" s="4" t="inlineStr">
        <is>
          <t>HOM-BSP-0008</t>
        </is>
      </c>
      <c r="L47" s="4" t="inlineStr">
        <is>
          <t>HOM-BSP-0009</t>
        </is>
      </c>
      <c r="M47" s="4" t="inlineStr">
        <is>
          <t>HOM-BSP-0010</t>
        </is>
      </c>
    </row>
    <row r="48" ht="120" customHeight="1">
      <c r="A48" s="2" t="n">
        <v>47</v>
      </c>
      <c r="B48" s="2" t="inlineStr">
        <is>
          <t>52 Booti Single Bedspread (Blue base, Strawberry motif)</t>
        </is>
      </c>
      <c r="C48" s="2" t="inlineStr">
        <is>
          <t>52 Booti Single Bedspread (Blue base, Strawberry motif)</t>
        </is>
      </c>
      <c r="D48" s="2" t="n">
        <v>1795</v>
      </c>
      <c r="E48" s="3" t="inlineStr"/>
      <c r="F48" s="2">
        <f>IMAGE("https://cdn.shopify.com/s/files/1/0774/6987/6271/files/hom-bsp-0007_01_300x.jpg?v=1790873971")</f>
        <v/>
      </c>
      <c r="G48" s="2">
        <f>IMAGE("https://cdn.shopify.com/s/files/1/0774/6987/6271/files/hom-bsp-0008_01_300x.jpg?v=1790873978")</f>
        <v/>
      </c>
      <c r="H48" s="2">
        <f>IMAGE("https://cdn.shopify.com/s/files/1/0774/6987/6271/files/hom-bsp-0009_01_300x.jpg?v=1790874020")</f>
        <v/>
      </c>
      <c r="I48" s="2">
        <f>IMAGE("https://cdn.shopify.com/s/files/1/0774/6987/6271/files/hom-bsp-0010_01_300x.jpg?v=1790874026")</f>
        <v/>
      </c>
      <c r="J48" s="4" t="inlineStr">
        <is>
          <t>HOM-BSP-0007</t>
        </is>
      </c>
      <c r="K48" s="4" t="inlineStr">
        <is>
          <t>HOM-BSP-0008</t>
        </is>
      </c>
      <c r="L48" s="4" t="inlineStr">
        <is>
          <t>HOM-BSP-0009</t>
        </is>
      </c>
      <c r="M48" s="4" t="inlineStr">
        <is>
          <t>HOM-BSP-0010</t>
        </is>
      </c>
    </row>
    <row r="49" ht="120" customHeight="1">
      <c r="A49" s="2" t="n">
        <v>48</v>
      </c>
      <c r="B49" s="2" t="inlineStr">
        <is>
          <t>52 Booti Single Bedspread C8 (Design in the middle)</t>
        </is>
      </c>
      <c r="C49" s="2" t="inlineStr">
        <is>
          <t>52 Booti Single Bedspread C8 (Design in the middle)</t>
        </is>
      </c>
      <c r="D49" s="2" t="n">
        <v>2495</v>
      </c>
      <c r="E49" s="3" t="inlineStr"/>
      <c r="F49" s="2">
        <f>IMAGE("https://cdn.shopify.com/s/files/1/0774/6987/6271/files/hom-bsp-0012_01_300x.jpg?v=1790874039")</f>
        <v/>
      </c>
      <c r="G49" s="2">
        <f>IMAGE("https://cdn.shopify.com/s/files/1/0774/6987/6271/files/gha-try-0001_01_300x.jpg?v=1790873169")</f>
        <v/>
      </c>
      <c r="H49" s="2">
        <f>IMAGE("https://cdn.shopify.com/s/files/1/0774/6987/6271/files/wea-dup-0023_01_300x.jpg?v=1790872857")</f>
        <v/>
      </c>
      <c r="I49" s="2">
        <f>IMAGE("https://cdn.shopify.com/s/files/1/0774/6987/6271/files/hom-pln-0001_01_300x.jpg?v=1790872036")</f>
        <v/>
      </c>
      <c r="J49" s="4" t="inlineStr">
        <is>
          <t>HOM-BSP-0012</t>
        </is>
      </c>
      <c r="K49" s="4" t="inlineStr">
        <is>
          <t>GHA-TRY-0001</t>
        </is>
      </c>
      <c r="L49" s="4" t="inlineStr">
        <is>
          <t>WEA-DUP-0023</t>
        </is>
      </c>
      <c r="M49" s="4" t="inlineStr">
        <is>
          <t>HOM-PLN-0001</t>
        </is>
      </c>
    </row>
    <row r="50" ht="120" customHeight="1">
      <c r="A50" s="2" t="n">
        <v>49</v>
      </c>
      <c r="B50" s="2" t="inlineStr">
        <is>
          <t>Cylindrical White Jamdani with birds &amp; wrought iron stand (LED bulb pin variety; bulb not included)</t>
        </is>
      </c>
      <c r="C50" s="2" t="inlineStr">
        <is>
          <t>Cylindrical White Jamdani with birds &amp; wrought iron stand (LED bulb pin variety; bulb not included)</t>
        </is>
      </c>
      <c r="D50" s="2" t="n">
        <v>2195</v>
      </c>
      <c r="E50" s="3" t="inlineStr"/>
      <c r="F50" s="2">
        <f>IMAGE("https://cdn.shopify.com/s/files/1/0774/6987/6271/files/hom-lmp-0005_01_300x.jpg?v=1790874091")</f>
        <v/>
      </c>
      <c r="G50" s="2">
        <f>IMAGE("https://cdn.shopify.com/s/files/1/0774/6987/6271/files/hom-lmp-0003_01_300x.jpg?v=1790872977")</f>
        <v/>
      </c>
      <c r="H50" s="2">
        <f>IMAGE("https://cdn.shopify.com/s/files/1/0774/6987/6271/files/wea-dup-0009_01_300x.jpg?v=1790870949")</f>
        <v/>
      </c>
      <c r="I50" s="2">
        <f>IMAGE("https://cdn.shopify.com/s/files/1/0774/6987/6271/files/jwl-nck-0043_01_300x.jpg?v=1790874285")</f>
        <v/>
      </c>
      <c r="J50" s="4" t="inlineStr">
        <is>
          <t>HOM-LMP-0005</t>
        </is>
      </c>
      <c r="K50" s="4" t="inlineStr">
        <is>
          <t>HOM-LMP-0003</t>
        </is>
      </c>
      <c r="L50" s="4" t="inlineStr">
        <is>
          <t>WEA-DUP-0009</t>
        </is>
      </c>
      <c r="M50" s="4" t="inlineStr">
        <is>
          <t>JWL-NCK-0043</t>
        </is>
      </c>
    </row>
    <row r="51" ht="120" customHeight="1">
      <c r="A51" s="2" t="n">
        <v>50</v>
      </c>
      <c r="B51" s="2" t="inlineStr">
        <is>
          <t>Nagamese Net Necklace (Green &amp; Yellow on Black beads)</t>
        </is>
      </c>
      <c r="C51" s="2" t="inlineStr">
        <is>
          <t>Nagamese net necklace - Multi colour</t>
        </is>
      </c>
      <c r="D51" s="2" t="n">
        <v>2195</v>
      </c>
      <c r="E51" s="3" t="inlineStr"/>
      <c r="F51" s="2">
        <f>IMAGE("https://cdn.shopify.com/s/files/1/0774/6987/6271/files/jwl-nck-0043_01_300x.jpg?v=1790874285")</f>
        <v/>
      </c>
      <c r="G51" s="2">
        <f>IMAGE("https://cdn.shopify.com/s/files/1/0774/6987/6271/files/jwl-nck-0044_02_300x.jpg?v=1790874294")</f>
        <v/>
      </c>
      <c r="H51" s="2">
        <f>IMAGE("https://cdn.shopify.com/s/files/1/0774/6987/6271/files/hom-lmp-0003_01_300x.jpg?v=1790872977")</f>
        <v/>
      </c>
      <c r="I51" s="2">
        <f>IMAGE("https://cdn.shopify.com/s/files/1/0774/6987/6271/files/wea-dup-0009_01_300x.jpg?v=1790870949")</f>
        <v/>
      </c>
      <c r="J51" s="4" t="inlineStr">
        <is>
          <t>JWL-NCK-0043</t>
        </is>
      </c>
      <c r="K51" s="4" t="inlineStr">
        <is>
          <t>JWL-NCK-0044</t>
        </is>
      </c>
      <c r="L51" s="4" t="inlineStr">
        <is>
          <t>HOM-LMP-0003</t>
        </is>
      </c>
      <c r="M51" s="4" t="inlineStr">
        <is>
          <t>WEA-DUP-0009</t>
        </is>
      </c>
    </row>
    <row r="52" ht="120" customHeight="1">
      <c r="A52" s="2" t="n">
        <v>51</v>
      </c>
      <c r="B52" s="2" t="inlineStr">
        <is>
          <t>Nagamese Net Necklace (Green &amp; Red on Black beads)</t>
        </is>
      </c>
      <c r="C52" s="2" t="inlineStr">
        <is>
          <t>Nagamese net necklace - Multi colour</t>
        </is>
      </c>
      <c r="D52" s="2" t="n">
        <v>2195</v>
      </c>
      <c r="E52" s="3" t="inlineStr"/>
      <c r="F52" s="2">
        <f>IMAGE("https://cdn.shopify.com/s/files/1/0774/6987/6271/files/jwl-nck-0043_01_300x.jpg?v=1790874285")</f>
        <v/>
      </c>
      <c r="G52" s="2">
        <f>IMAGE("https://cdn.shopify.com/s/files/1/0774/6987/6271/files/jwl-nck-0044_02_300x.jpg?v=1790874294")</f>
        <v/>
      </c>
      <c r="H52" s="2">
        <f>IMAGE("https://cdn.shopify.com/s/files/1/0774/6987/6271/files/hom-lmp-0003_01_300x.jpg?v=1790872977")</f>
        <v/>
      </c>
      <c r="I52" s="2">
        <f>IMAGE("https://cdn.shopify.com/s/files/1/0774/6987/6271/files/wea-dup-0009_01_300x.jpg?v=1790870949")</f>
        <v/>
      </c>
      <c r="J52" s="4" t="inlineStr">
        <is>
          <t>JWL-NCK-0043</t>
        </is>
      </c>
      <c r="K52" s="4" t="inlineStr">
        <is>
          <t>JWL-NCK-0044</t>
        </is>
      </c>
      <c r="L52" s="4" t="inlineStr">
        <is>
          <t>HOM-LMP-0003</t>
        </is>
      </c>
      <c r="M52" s="4" t="inlineStr">
        <is>
          <t>WEA-DUP-0009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L3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L4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L5" r:id="rId13"/>
    <hyperlink xmlns:r="http://schemas.openxmlformats.org/officeDocument/2006/relationships" ref="M5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L6" r:id="rId17"/>
    <hyperlink xmlns:r="http://schemas.openxmlformats.org/officeDocument/2006/relationships" ref="M6" r:id="rId18"/>
    <hyperlink xmlns:r="http://schemas.openxmlformats.org/officeDocument/2006/relationships" ref="J7" r:id="rId19"/>
    <hyperlink xmlns:r="http://schemas.openxmlformats.org/officeDocument/2006/relationships" ref="K7" r:id="rId20"/>
    <hyperlink xmlns:r="http://schemas.openxmlformats.org/officeDocument/2006/relationships" ref="L7" r:id="rId21"/>
    <hyperlink xmlns:r="http://schemas.openxmlformats.org/officeDocument/2006/relationships" ref="M7" r:id="rId22"/>
    <hyperlink xmlns:r="http://schemas.openxmlformats.org/officeDocument/2006/relationships" ref="J8" r:id="rId23"/>
    <hyperlink xmlns:r="http://schemas.openxmlformats.org/officeDocument/2006/relationships" ref="K8" r:id="rId24"/>
    <hyperlink xmlns:r="http://schemas.openxmlformats.org/officeDocument/2006/relationships" ref="L8" r:id="rId25"/>
    <hyperlink xmlns:r="http://schemas.openxmlformats.org/officeDocument/2006/relationships" ref="M8" r:id="rId26"/>
    <hyperlink xmlns:r="http://schemas.openxmlformats.org/officeDocument/2006/relationships" ref="J9" r:id="rId27"/>
    <hyperlink xmlns:r="http://schemas.openxmlformats.org/officeDocument/2006/relationships" ref="K9" r:id="rId28"/>
    <hyperlink xmlns:r="http://schemas.openxmlformats.org/officeDocument/2006/relationships" ref="L9" r:id="rId29"/>
    <hyperlink xmlns:r="http://schemas.openxmlformats.org/officeDocument/2006/relationships" ref="M9" r:id="rId30"/>
    <hyperlink xmlns:r="http://schemas.openxmlformats.org/officeDocument/2006/relationships" ref="J10" r:id="rId31"/>
    <hyperlink xmlns:r="http://schemas.openxmlformats.org/officeDocument/2006/relationships" ref="K10" r:id="rId32"/>
    <hyperlink xmlns:r="http://schemas.openxmlformats.org/officeDocument/2006/relationships" ref="L10" r:id="rId33"/>
    <hyperlink xmlns:r="http://schemas.openxmlformats.org/officeDocument/2006/relationships" ref="M10" r:id="rId34"/>
    <hyperlink xmlns:r="http://schemas.openxmlformats.org/officeDocument/2006/relationships" ref="J11" r:id="rId35"/>
    <hyperlink xmlns:r="http://schemas.openxmlformats.org/officeDocument/2006/relationships" ref="K11" r:id="rId36"/>
    <hyperlink xmlns:r="http://schemas.openxmlformats.org/officeDocument/2006/relationships" ref="L11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L12" r:id="rId40"/>
    <hyperlink xmlns:r="http://schemas.openxmlformats.org/officeDocument/2006/relationships" ref="J13" r:id="rId41"/>
    <hyperlink xmlns:r="http://schemas.openxmlformats.org/officeDocument/2006/relationships" ref="K13" r:id="rId42"/>
    <hyperlink xmlns:r="http://schemas.openxmlformats.org/officeDocument/2006/relationships" ref="L13" r:id="rId43"/>
    <hyperlink xmlns:r="http://schemas.openxmlformats.org/officeDocument/2006/relationships" ref="J14" r:id="rId44"/>
    <hyperlink xmlns:r="http://schemas.openxmlformats.org/officeDocument/2006/relationships" ref="K14" r:id="rId45"/>
    <hyperlink xmlns:r="http://schemas.openxmlformats.org/officeDocument/2006/relationships" ref="L14" r:id="rId46"/>
    <hyperlink xmlns:r="http://schemas.openxmlformats.org/officeDocument/2006/relationships" ref="M14" r:id="rId47"/>
    <hyperlink xmlns:r="http://schemas.openxmlformats.org/officeDocument/2006/relationships" ref="J15" r:id="rId48"/>
    <hyperlink xmlns:r="http://schemas.openxmlformats.org/officeDocument/2006/relationships" ref="K15" r:id="rId49"/>
    <hyperlink xmlns:r="http://schemas.openxmlformats.org/officeDocument/2006/relationships" ref="L15" r:id="rId50"/>
    <hyperlink xmlns:r="http://schemas.openxmlformats.org/officeDocument/2006/relationships" ref="M15" r:id="rId51"/>
    <hyperlink xmlns:r="http://schemas.openxmlformats.org/officeDocument/2006/relationships" ref="J16" r:id="rId52"/>
    <hyperlink xmlns:r="http://schemas.openxmlformats.org/officeDocument/2006/relationships" ref="K16" r:id="rId53"/>
    <hyperlink xmlns:r="http://schemas.openxmlformats.org/officeDocument/2006/relationships" ref="L16" r:id="rId54"/>
    <hyperlink xmlns:r="http://schemas.openxmlformats.org/officeDocument/2006/relationships" ref="M16" r:id="rId55"/>
    <hyperlink xmlns:r="http://schemas.openxmlformats.org/officeDocument/2006/relationships" ref="J17" r:id="rId56"/>
    <hyperlink xmlns:r="http://schemas.openxmlformats.org/officeDocument/2006/relationships" ref="K17" r:id="rId57"/>
    <hyperlink xmlns:r="http://schemas.openxmlformats.org/officeDocument/2006/relationships" ref="L17" r:id="rId58"/>
    <hyperlink xmlns:r="http://schemas.openxmlformats.org/officeDocument/2006/relationships" ref="M17" r:id="rId59"/>
    <hyperlink xmlns:r="http://schemas.openxmlformats.org/officeDocument/2006/relationships" ref="J18" r:id="rId60"/>
    <hyperlink xmlns:r="http://schemas.openxmlformats.org/officeDocument/2006/relationships" ref="K18" r:id="rId61"/>
    <hyperlink xmlns:r="http://schemas.openxmlformats.org/officeDocument/2006/relationships" ref="L18" r:id="rId62"/>
    <hyperlink xmlns:r="http://schemas.openxmlformats.org/officeDocument/2006/relationships" ref="M18" r:id="rId63"/>
    <hyperlink xmlns:r="http://schemas.openxmlformats.org/officeDocument/2006/relationships" ref="J19" r:id="rId64"/>
    <hyperlink xmlns:r="http://schemas.openxmlformats.org/officeDocument/2006/relationships" ref="K19" r:id="rId65"/>
    <hyperlink xmlns:r="http://schemas.openxmlformats.org/officeDocument/2006/relationships" ref="L19" r:id="rId66"/>
    <hyperlink xmlns:r="http://schemas.openxmlformats.org/officeDocument/2006/relationships" ref="M19" r:id="rId67"/>
    <hyperlink xmlns:r="http://schemas.openxmlformats.org/officeDocument/2006/relationships" ref="J20" r:id="rId68"/>
    <hyperlink xmlns:r="http://schemas.openxmlformats.org/officeDocument/2006/relationships" ref="K20" r:id="rId69"/>
    <hyperlink xmlns:r="http://schemas.openxmlformats.org/officeDocument/2006/relationships" ref="L20" r:id="rId70"/>
    <hyperlink xmlns:r="http://schemas.openxmlformats.org/officeDocument/2006/relationships" ref="M20" r:id="rId71"/>
    <hyperlink xmlns:r="http://schemas.openxmlformats.org/officeDocument/2006/relationships" ref="J21" r:id="rId72"/>
    <hyperlink xmlns:r="http://schemas.openxmlformats.org/officeDocument/2006/relationships" ref="K21" r:id="rId73"/>
    <hyperlink xmlns:r="http://schemas.openxmlformats.org/officeDocument/2006/relationships" ref="L21" r:id="rId74"/>
    <hyperlink xmlns:r="http://schemas.openxmlformats.org/officeDocument/2006/relationships" ref="M21" r:id="rId75"/>
    <hyperlink xmlns:r="http://schemas.openxmlformats.org/officeDocument/2006/relationships" ref="J22" r:id="rId76"/>
    <hyperlink xmlns:r="http://schemas.openxmlformats.org/officeDocument/2006/relationships" ref="K22" r:id="rId77"/>
    <hyperlink xmlns:r="http://schemas.openxmlformats.org/officeDocument/2006/relationships" ref="L22" r:id="rId78"/>
    <hyperlink xmlns:r="http://schemas.openxmlformats.org/officeDocument/2006/relationships" ref="M22" r:id="rId79"/>
    <hyperlink xmlns:r="http://schemas.openxmlformats.org/officeDocument/2006/relationships" ref="J23" r:id="rId80"/>
    <hyperlink xmlns:r="http://schemas.openxmlformats.org/officeDocument/2006/relationships" ref="K23" r:id="rId81"/>
    <hyperlink xmlns:r="http://schemas.openxmlformats.org/officeDocument/2006/relationships" ref="L23" r:id="rId82"/>
    <hyperlink xmlns:r="http://schemas.openxmlformats.org/officeDocument/2006/relationships" ref="M23" r:id="rId83"/>
    <hyperlink xmlns:r="http://schemas.openxmlformats.org/officeDocument/2006/relationships" ref="J24" r:id="rId84"/>
    <hyperlink xmlns:r="http://schemas.openxmlformats.org/officeDocument/2006/relationships" ref="K24" r:id="rId85"/>
    <hyperlink xmlns:r="http://schemas.openxmlformats.org/officeDocument/2006/relationships" ref="L24" r:id="rId86"/>
    <hyperlink xmlns:r="http://schemas.openxmlformats.org/officeDocument/2006/relationships" ref="M24" r:id="rId87"/>
    <hyperlink xmlns:r="http://schemas.openxmlformats.org/officeDocument/2006/relationships" ref="J25" r:id="rId88"/>
    <hyperlink xmlns:r="http://schemas.openxmlformats.org/officeDocument/2006/relationships" ref="K25" r:id="rId89"/>
    <hyperlink xmlns:r="http://schemas.openxmlformats.org/officeDocument/2006/relationships" ref="L25" r:id="rId90"/>
    <hyperlink xmlns:r="http://schemas.openxmlformats.org/officeDocument/2006/relationships" ref="M25" r:id="rId91"/>
    <hyperlink xmlns:r="http://schemas.openxmlformats.org/officeDocument/2006/relationships" ref="J26" r:id="rId92"/>
    <hyperlink xmlns:r="http://schemas.openxmlformats.org/officeDocument/2006/relationships" ref="K26" r:id="rId93"/>
    <hyperlink xmlns:r="http://schemas.openxmlformats.org/officeDocument/2006/relationships" ref="L26" r:id="rId94"/>
    <hyperlink xmlns:r="http://schemas.openxmlformats.org/officeDocument/2006/relationships" ref="M26" r:id="rId95"/>
    <hyperlink xmlns:r="http://schemas.openxmlformats.org/officeDocument/2006/relationships" ref="J27" r:id="rId96"/>
    <hyperlink xmlns:r="http://schemas.openxmlformats.org/officeDocument/2006/relationships" ref="K27" r:id="rId97"/>
    <hyperlink xmlns:r="http://schemas.openxmlformats.org/officeDocument/2006/relationships" ref="L27" r:id="rId98"/>
    <hyperlink xmlns:r="http://schemas.openxmlformats.org/officeDocument/2006/relationships" ref="M27" r:id="rId99"/>
    <hyperlink xmlns:r="http://schemas.openxmlformats.org/officeDocument/2006/relationships" ref="J28" r:id="rId100"/>
    <hyperlink xmlns:r="http://schemas.openxmlformats.org/officeDocument/2006/relationships" ref="K28" r:id="rId101"/>
    <hyperlink xmlns:r="http://schemas.openxmlformats.org/officeDocument/2006/relationships" ref="L28" r:id="rId102"/>
    <hyperlink xmlns:r="http://schemas.openxmlformats.org/officeDocument/2006/relationships" ref="M28" r:id="rId103"/>
    <hyperlink xmlns:r="http://schemas.openxmlformats.org/officeDocument/2006/relationships" ref="J29" r:id="rId104"/>
    <hyperlink xmlns:r="http://schemas.openxmlformats.org/officeDocument/2006/relationships" ref="K29" r:id="rId105"/>
    <hyperlink xmlns:r="http://schemas.openxmlformats.org/officeDocument/2006/relationships" ref="L29" r:id="rId106"/>
    <hyperlink xmlns:r="http://schemas.openxmlformats.org/officeDocument/2006/relationships" ref="M29" r:id="rId107"/>
    <hyperlink xmlns:r="http://schemas.openxmlformats.org/officeDocument/2006/relationships" ref="J30" r:id="rId108"/>
    <hyperlink xmlns:r="http://schemas.openxmlformats.org/officeDocument/2006/relationships" ref="K30" r:id="rId109"/>
    <hyperlink xmlns:r="http://schemas.openxmlformats.org/officeDocument/2006/relationships" ref="L30" r:id="rId110"/>
    <hyperlink xmlns:r="http://schemas.openxmlformats.org/officeDocument/2006/relationships" ref="M30" r:id="rId111"/>
    <hyperlink xmlns:r="http://schemas.openxmlformats.org/officeDocument/2006/relationships" ref="J31" r:id="rId112"/>
    <hyperlink xmlns:r="http://schemas.openxmlformats.org/officeDocument/2006/relationships" ref="K31" r:id="rId113"/>
    <hyperlink xmlns:r="http://schemas.openxmlformats.org/officeDocument/2006/relationships" ref="L31" r:id="rId114"/>
    <hyperlink xmlns:r="http://schemas.openxmlformats.org/officeDocument/2006/relationships" ref="M31" r:id="rId115"/>
    <hyperlink xmlns:r="http://schemas.openxmlformats.org/officeDocument/2006/relationships" ref="J32" r:id="rId116"/>
    <hyperlink xmlns:r="http://schemas.openxmlformats.org/officeDocument/2006/relationships" ref="K32" r:id="rId117"/>
    <hyperlink xmlns:r="http://schemas.openxmlformats.org/officeDocument/2006/relationships" ref="L32" r:id="rId118"/>
    <hyperlink xmlns:r="http://schemas.openxmlformats.org/officeDocument/2006/relationships" ref="M32" r:id="rId119"/>
    <hyperlink xmlns:r="http://schemas.openxmlformats.org/officeDocument/2006/relationships" ref="J33" r:id="rId120"/>
    <hyperlink xmlns:r="http://schemas.openxmlformats.org/officeDocument/2006/relationships" ref="K33" r:id="rId121"/>
    <hyperlink xmlns:r="http://schemas.openxmlformats.org/officeDocument/2006/relationships" ref="L33" r:id="rId122"/>
    <hyperlink xmlns:r="http://schemas.openxmlformats.org/officeDocument/2006/relationships" ref="M33" r:id="rId123"/>
    <hyperlink xmlns:r="http://schemas.openxmlformats.org/officeDocument/2006/relationships" ref="J34" r:id="rId124"/>
    <hyperlink xmlns:r="http://schemas.openxmlformats.org/officeDocument/2006/relationships" ref="K34" r:id="rId125"/>
    <hyperlink xmlns:r="http://schemas.openxmlformats.org/officeDocument/2006/relationships" ref="L34" r:id="rId126"/>
    <hyperlink xmlns:r="http://schemas.openxmlformats.org/officeDocument/2006/relationships" ref="M34" r:id="rId127"/>
    <hyperlink xmlns:r="http://schemas.openxmlformats.org/officeDocument/2006/relationships" ref="J35" r:id="rId128"/>
    <hyperlink xmlns:r="http://schemas.openxmlformats.org/officeDocument/2006/relationships" ref="K35" r:id="rId129"/>
    <hyperlink xmlns:r="http://schemas.openxmlformats.org/officeDocument/2006/relationships" ref="L35" r:id="rId130"/>
    <hyperlink xmlns:r="http://schemas.openxmlformats.org/officeDocument/2006/relationships" ref="M35" r:id="rId131"/>
    <hyperlink xmlns:r="http://schemas.openxmlformats.org/officeDocument/2006/relationships" ref="J36" r:id="rId132"/>
    <hyperlink xmlns:r="http://schemas.openxmlformats.org/officeDocument/2006/relationships" ref="K36" r:id="rId133"/>
    <hyperlink xmlns:r="http://schemas.openxmlformats.org/officeDocument/2006/relationships" ref="L36" r:id="rId134"/>
    <hyperlink xmlns:r="http://schemas.openxmlformats.org/officeDocument/2006/relationships" ref="J37" r:id="rId135"/>
    <hyperlink xmlns:r="http://schemas.openxmlformats.org/officeDocument/2006/relationships" ref="K37" r:id="rId136"/>
    <hyperlink xmlns:r="http://schemas.openxmlformats.org/officeDocument/2006/relationships" ref="L37" r:id="rId137"/>
    <hyperlink xmlns:r="http://schemas.openxmlformats.org/officeDocument/2006/relationships" ref="J38" r:id="rId138"/>
    <hyperlink xmlns:r="http://schemas.openxmlformats.org/officeDocument/2006/relationships" ref="K38" r:id="rId139"/>
    <hyperlink xmlns:r="http://schemas.openxmlformats.org/officeDocument/2006/relationships" ref="L38" r:id="rId140"/>
    <hyperlink xmlns:r="http://schemas.openxmlformats.org/officeDocument/2006/relationships" ref="M38" r:id="rId141"/>
    <hyperlink xmlns:r="http://schemas.openxmlformats.org/officeDocument/2006/relationships" ref="J39" r:id="rId142"/>
    <hyperlink xmlns:r="http://schemas.openxmlformats.org/officeDocument/2006/relationships" ref="K39" r:id="rId143"/>
    <hyperlink xmlns:r="http://schemas.openxmlformats.org/officeDocument/2006/relationships" ref="L39" r:id="rId144"/>
    <hyperlink xmlns:r="http://schemas.openxmlformats.org/officeDocument/2006/relationships" ref="M39" r:id="rId145"/>
    <hyperlink xmlns:r="http://schemas.openxmlformats.org/officeDocument/2006/relationships" ref="J40" r:id="rId146"/>
    <hyperlink xmlns:r="http://schemas.openxmlformats.org/officeDocument/2006/relationships" ref="K40" r:id="rId147"/>
    <hyperlink xmlns:r="http://schemas.openxmlformats.org/officeDocument/2006/relationships" ref="L40" r:id="rId148"/>
    <hyperlink xmlns:r="http://schemas.openxmlformats.org/officeDocument/2006/relationships" ref="M40" r:id="rId149"/>
    <hyperlink xmlns:r="http://schemas.openxmlformats.org/officeDocument/2006/relationships" ref="J41" r:id="rId150"/>
    <hyperlink xmlns:r="http://schemas.openxmlformats.org/officeDocument/2006/relationships" ref="K41" r:id="rId151"/>
    <hyperlink xmlns:r="http://schemas.openxmlformats.org/officeDocument/2006/relationships" ref="L41" r:id="rId152"/>
    <hyperlink xmlns:r="http://schemas.openxmlformats.org/officeDocument/2006/relationships" ref="M41" r:id="rId153"/>
    <hyperlink xmlns:r="http://schemas.openxmlformats.org/officeDocument/2006/relationships" ref="J42" r:id="rId154"/>
    <hyperlink xmlns:r="http://schemas.openxmlformats.org/officeDocument/2006/relationships" ref="K42" r:id="rId155"/>
    <hyperlink xmlns:r="http://schemas.openxmlformats.org/officeDocument/2006/relationships" ref="L42" r:id="rId156"/>
    <hyperlink xmlns:r="http://schemas.openxmlformats.org/officeDocument/2006/relationships" ref="M42" r:id="rId157"/>
    <hyperlink xmlns:r="http://schemas.openxmlformats.org/officeDocument/2006/relationships" ref="J43" r:id="rId158"/>
    <hyperlink xmlns:r="http://schemas.openxmlformats.org/officeDocument/2006/relationships" ref="K43" r:id="rId159"/>
    <hyperlink xmlns:r="http://schemas.openxmlformats.org/officeDocument/2006/relationships" ref="L43" r:id="rId160"/>
    <hyperlink xmlns:r="http://schemas.openxmlformats.org/officeDocument/2006/relationships" ref="M43" r:id="rId161"/>
    <hyperlink xmlns:r="http://schemas.openxmlformats.org/officeDocument/2006/relationships" ref="J44" r:id="rId162"/>
    <hyperlink xmlns:r="http://schemas.openxmlformats.org/officeDocument/2006/relationships" ref="K44" r:id="rId163"/>
    <hyperlink xmlns:r="http://schemas.openxmlformats.org/officeDocument/2006/relationships" ref="L44" r:id="rId164"/>
    <hyperlink xmlns:r="http://schemas.openxmlformats.org/officeDocument/2006/relationships" ref="M44" r:id="rId165"/>
    <hyperlink xmlns:r="http://schemas.openxmlformats.org/officeDocument/2006/relationships" ref="J45" r:id="rId166"/>
    <hyperlink xmlns:r="http://schemas.openxmlformats.org/officeDocument/2006/relationships" ref="K45" r:id="rId167"/>
    <hyperlink xmlns:r="http://schemas.openxmlformats.org/officeDocument/2006/relationships" ref="L45" r:id="rId168"/>
    <hyperlink xmlns:r="http://schemas.openxmlformats.org/officeDocument/2006/relationships" ref="M45" r:id="rId169"/>
    <hyperlink xmlns:r="http://schemas.openxmlformats.org/officeDocument/2006/relationships" ref="J46" r:id="rId170"/>
    <hyperlink xmlns:r="http://schemas.openxmlformats.org/officeDocument/2006/relationships" ref="K46" r:id="rId171"/>
    <hyperlink xmlns:r="http://schemas.openxmlformats.org/officeDocument/2006/relationships" ref="L46" r:id="rId172"/>
    <hyperlink xmlns:r="http://schemas.openxmlformats.org/officeDocument/2006/relationships" ref="M46" r:id="rId173"/>
    <hyperlink xmlns:r="http://schemas.openxmlformats.org/officeDocument/2006/relationships" ref="J47" r:id="rId174"/>
    <hyperlink xmlns:r="http://schemas.openxmlformats.org/officeDocument/2006/relationships" ref="K47" r:id="rId175"/>
    <hyperlink xmlns:r="http://schemas.openxmlformats.org/officeDocument/2006/relationships" ref="L47" r:id="rId176"/>
    <hyperlink xmlns:r="http://schemas.openxmlformats.org/officeDocument/2006/relationships" ref="M47" r:id="rId177"/>
    <hyperlink xmlns:r="http://schemas.openxmlformats.org/officeDocument/2006/relationships" ref="J48" r:id="rId178"/>
    <hyperlink xmlns:r="http://schemas.openxmlformats.org/officeDocument/2006/relationships" ref="K48" r:id="rId179"/>
    <hyperlink xmlns:r="http://schemas.openxmlformats.org/officeDocument/2006/relationships" ref="L48" r:id="rId180"/>
    <hyperlink xmlns:r="http://schemas.openxmlformats.org/officeDocument/2006/relationships" ref="M48" r:id="rId181"/>
    <hyperlink xmlns:r="http://schemas.openxmlformats.org/officeDocument/2006/relationships" ref="J49" r:id="rId182"/>
    <hyperlink xmlns:r="http://schemas.openxmlformats.org/officeDocument/2006/relationships" ref="K49" r:id="rId183"/>
    <hyperlink xmlns:r="http://schemas.openxmlformats.org/officeDocument/2006/relationships" ref="L49" r:id="rId184"/>
    <hyperlink xmlns:r="http://schemas.openxmlformats.org/officeDocument/2006/relationships" ref="M49" r:id="rId185"/>
    <hyperlink xmlns:r="http://schemas.openxmlformats.org/officeDocument/2006/relationships" ref="J50" r:id="rId186"/>
    <hyperlink xmlns:r="http://schemas.openxmlformats.org/officeDocument/2006/relationships" ref="K50" r:id="rId187"/>
    <hyperlink xmlns:r="http://schemas.openxmlformats.org/officeDocument/2006/relationships" ref="L50" r:id="rId188"/>
    <hyperlink xmlns:r="http://schemas.openxmlformats.org/officeDocument/2006/relationships" ref="M50" r:id="rId189"/>
    <hyperlink xmlns:r="http://schemas.openxmlformats.org/officeDocument/2006/relationships" ref="J51" r:id="rId190"/>
    <hyperlink xmlns:r="http://schemas.openxmlformats.org/officeDocument/2006/relationships" ref="K51" r:id="rId191"/>
    <hyperlink xmlns:r="http://schemas.openxmlformats.org/officeDocument/2006/relationships" ref="L51" r:id="rId192"/>
    <hyperlink xmlns:r="http://schemas.openxmlformats.org/officeDocument/2006/relationships" ref="M51" r:id="rId193"/>
    <hyperlink xmlns:r="http://schemas.openxmlformats.org/officeDocument/2006/relationships" ref="J52" r:id="rId194"/>
    <hyperlink xmlns:r="http://schemas.openxmlformats.org/officeDocument/2006/relationships" ref="K52" r:id="rId195"/>
    <hyperlink xmlns:r="http://schemas.openxmlformats.org/officeDocument/2006/relationships" ref="L52" r:id="rId196"/>
    <hyperlink xmlns:r="http://schemas.openxmlformats.org/officeDocument/2006/relationships" ref="M52" r:id="rId1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2026-10-10T19:07:46Z</dcterms:created>
  <dcterms:modified xmlns:dcterms="http://purl.org/dc/terms/" xmlns:xsi="http://www.w3.org/2001/XMLSchema-instance" xsi:type="dcterms:W3CDTF">2026-10-10T19:07:46Z</dcterms:modified>
</cp:coreProperties>
</file>